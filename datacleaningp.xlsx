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be\Documents\"/>
    </mc:Choice>
  </mc:AlternateContent>
  <xr:revisionPtr revIDLastSave="0" documentId="13_ncr:1_{54885198-707B-4380-AF8A-06E8F372F813}" xr6:coauthVersionLast="47" xr6:coauthVersionMax="47" xr10:uidLastSave="{00000000-0000-0000-0000-000000000000}"/>
  <bookViews>
    <workbookView xWindow="-96" yWindow="-96" windowWidth="19392" windowHeight="10272" activeTab="2" xr2:uid="{1515206F-85D8-432A-B838-95E81DCC84E4}"/>
  </bookViews>
  <sheets>
    <sheet name="dirty data" sheetId="1" r:id="rId1"/>
    <sheet name="cleaning process" sheetId="2" r:id="rId2"/>
    <sheet name="final clean 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" i="2"/>
  <c r="E6" i="2"/>
  <c r="E7" i="2"/>
  <c r="E14" i="2"/>
  <c r="E15" i="2"/>
  <c r="E22" i="2"/>
  <c r="E23" i="2"/>
  <c r="F4" i="2"/>
  <c r="F5" i="2"/>
  <c r="F12" i="2"/>
  <c r="F13" i="2"/>
  <c r="F20" i="2"/>
  <c r="F21" i="2"/>
  <c r="H5" i="2"/>
  <c r="H13" i="2"/>
  <c r="H21" i="2"/>
  <c r="T3" i="2"/>
  <c r="U3" i="2" s="1"/>
  <c r="T4" i="2"/>
  <c r="U4" i="2" s="1"/>
  <c r="T5" i="2"/>
  <c r="U5" i="2" s="1"/>
  <c r="T6" i="2"/>
  <c r="U6" i="2" s="1"/>
  <c r="T7" i="2"/>
  <c r="U7" i="2" s="1"/>
  <c r="T8" i="2"/>
  <c r="U8" i="2" s="1"/>
  <c r="T9" i="2"/>
  <c r="U9" i="2" s="1"/>
  <c r="T10" i="2"/>
  <c r="U10" i="2" s="1"/>
  <c r="T11" i="2"/>
  <c r="U11" i="2" s="1"/>
  <c r="T12" i="2"/>
  <c r="U12" i="2" s="1"/>
  <c r="T13" i="2"/>
  <c r="U13" i="2" s="1"/>
  <c r="T14" i="2"/>
  <c r="U14" i="2" s="1"/>
  <c r="T15" i="2"/>
  <c r="U15" i="2" s="1"/>
  <c r="T16" i="2"/>
  <c r="U16" i="2" s="1"/>
  <c r="T17" i="2"/>
  <c r="U17" i="2" s="1"/>
  <c r="T18" i="2"/>
  <c r="U18" i="2" s="1"/>
  <c r="T19" i="2"/>
  <c r="U19" i="2" s="1"/>
  <c r="T20" i="2"/>
  <c r="U20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" i="2"/>
  <c r="U2" i="2" s="1"/>
  <c r="N3" i="2"/>
  <c r="P3" i="2" s="1"/>
  <c r="M3" i="2"/>
  <c r="O3" i="2" s="1"/>
  <c r="M4" i="2"/>
  <c r="O4" i="2" s="1"/>
  <c r="M5" i="2"/>
  <c r="N5" i="2" s="1"/>
  <c r="P5" i="2" s="1"/>
  <c r="M6" i="2"/>
  <c r="N6" i="2" s="1"/>
  <c r="P6" i="2" s="1"/>
  <c r="M7" i="2"/>
  <c r="N7" i="2" s="1"/>
  <c r="P7" i="2" s="1"/>
  <c r="M8" i="2"/>
  <c r="N8" i="2" s="1"/>
  <c r="P8" i="2" s="1"/>
  <c r="M9" i="2"/>
  <c r="O9" i="2" s="1"/>
  <c r="M10" i="2"/>
  <c r="O10" i="2" s="1"/>
  <c r="M11" i="2"/>
  <c r="N11" i="2" s="1"/>
  <c r="P11" i="2" s="1"/>
  <c r="M12" i="2"/>
  <c r="O12" i="2" s="1"/>
  <c r="M13" i="2"/>
  <c r="O13" i="2" s="1"/>
  <c r="M14" i="2"/>
  <c r="N14" i="2" s="1"/>
  <c r="P14" i="2" s="1"/>
  <c r="M15" i="2"/>
  <c r="N15" i="2" s="1"/>
  <c r="P15" i="2" s="1"/>
  <c r="M16" i="2"/>
  <c r="N16" i="2" s="1"/>
  <c r="P16" i="2" s="1"/>
  <c r="M17" i="2"/>
  <c r="O17" i="2" s="1"/>
  <c r="M18" i="2"/>
  <c r="O18" i="2" s="1"/>
  <c r="M19" i="2"/>
  <c r="N19" i="2" s="1"/>
  <c r="P19" i="2" s="1"/>
  <c r="M20" i="2"/>
  <c r="O20" i="2" s="1"/>
  <c r="M21" i="2"/>
  <c r="O21" i="2" s="1"/>
  <c r="M22" i="2"/>
  <c r="N22" i="2" s="1"/>
  <c r="P22" i="2" s="1"/>
  <c r="M23" i="2"/>
  <c r="N23" i="2" s="1"/>
  <c r="P23" i="2" s="1"/>
  <c r="M24" i="2"/>
  <c r="N24" i="2" s="1"/>
  <c r="P24" i="2" s="1"/>
  <c r="M25" i="2"/>
  <c r="O25" i="2" s="1"/>
  <c r="M26" i="2"/>
  <c r="O26" i="2" s="1"/>
  <c r="M2" i="2"/>
  <c r="O2" i="2" s="1"/>
  <c r="O5" i="2"/>
  <c r="O6" i="2"/>
  <c r="O7" i="2"/>
  <c r="O8" i="2"/>
  <c r="O15" i="2"/>
  <c r="O19" i="2"/>
  <c r="O2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" i="2"/>
  <c r="G3" i="2"/>
  <c r="G4" i="2"/>
  <c r="G5" i="2"/>
  <c r="G6" i="2"/>
  <c r="H6" i="2" s="1"/>
  <c r="G7" i="2"/>
  <c r="G8" i="2"/>
  <c r="H8" i="2" s="1"/>
  <c r="G9" i="2"/>
  <c r="H9" i="2" s="1"/>
  <c r="G10" i="2"/>
  <c r="H10" i="2" s="1"/>
  <c r="G11" i="2"/>
  <c r="G12" i="2"/>
  <c r="H12" i="2" s="1"/>
  <c r="G13" i="2"/>
  <c r="G14" i="2"/>
  <c r="G15" i="2"/>
  <c r="G16" i="2"/>
  <c r="H16" i="2" s="1"/>
  <c r="G17" i="2"/>
  <c r="H17" i="2" s="1"/>
  <c r="G18" i="2"/>
  <c r="H18" i="2" s="1"/>
  <c r="G19" i="2"/>
  <c r="H19" i="2" s="1"/>
  <c r="G20" i="2"/>
  <c r="G21" i="2"/>
  <c r="G22" i="2"/>
  <c r="H22" i="2" s="1"/>
  <c r="G23" i="2"/>
  <c r="G24" i="2"/>
  <c r="H24" i="2" s="1"/>
  <c r="G25" i="2"/>
  <c r="H25" i="2" s="1"/>
  <c r="G26" i="2"/>
  <c r="H26" i="2" s="1"/>
  <c r="G2" i="2"/>
  <c r="H2" i="2" s="1"/>
  <c r="C3" i="2"/>
  <c r="D3" i="2" s="1"/>
  <c r="E3" i="2" s="1"/>
  <c r="C4" i="2"/>
  <c r="D4" i="2" s="1"/>
  <c r="E4" i="2" s="1"/>
  <c r="C5" i="2"/>
  <c r="D5" i="2" s="1"/>
  <c r="E5" i="2" s="1"/>
  <c r="C6" i="2"/>
  <c r="D6" i="2" s="1"/>
  <c r="F6" i="2" s="1"/>
  <c r="C7" i="2"/>
  <c r="D7" i="2" s="1"/>
  <c r="F7" i="2" s="1"/>
  <c r="C8" i="2"/>
  <c r="D8" i="2" s="1"/>
  <c r="F8" i="2" s="1"/>
  <c r="C9" i="2"/>
  <c r="D9" i="2" s="1"/>
  <c r="E9" i="2" s="1"/>
  <c r="C10" i="2"/>
  <c r="D10" i="2" s="1"/>
  <c r="E10" i="2" s="1"/>
  <c r="C11" i="2"/>
  <c r="D11" i="2" s="1"/>
  <c r="E11" i="2" s="1"/>
  <c r="C12" i="2"/>
  <c r="D12" i="2" s="1"/>
  <c r="E12" i="2" s="1"/>
  <c r="C13" i="2"/>
  <c r="D13" i="2" s="1"/>
  <c r="E13" i="2" s="1"/>
  <c r="C14" i="2"/>
  <c r="D14" i="2" s="1"/>
  <c r="F14" i="2" s="1"/>
  <c r="C15" i="2"/>
  <c r="D15" i="2" s="1"/>
  <c r="F15" i="2" s="1"/>
  <c r="C16" i="2"/>
  <c r="D16" i="2" s="1"/>
  <c r="F16" i="2" s="1"/>
  <c r="C17" i="2"/>
  <c r="D17" i="2" s="1"/>
  <c r="E17" i="2" s="1"/>
  <c r="C18" i="2"/>
  <c r="D18" i="2" s="1"/>
  <c r="E18" i="2" s="1"/>
  <c r="C19" i="2"/>
  <c r="D19" i="2" s="1"/>
  <c r="E19" i="2" s="1"/>
  <c r="C20" i="2"/>
  <c r="D20" i="2" s="1"/>
  <c r="E20" i="2" s="1"/>
  <c r="C21" i="2"/>
  <c r="D21" i="2" s="1"/>
  <c r="E21" i="2" s="1"/>
  <c r="C22" i="2"/>
  <c r="D22" i="2" s="1"/>
  <c r="F22" i="2" s="1"/>
  <c r="C23" i="2"/>
  <c r="D23" i="2" s="1"/>
  <c r="F23" i="2" s="1"/>
  <c r="C24" i="2"/>
  <c r="D24" i="2" s="1"/>
  <c r="F24" i="2" s="1"/>
  <c r="C25" i="2"/>
  <c r="D25" i="2" s="1"/>
  <c r="E25" i="2" s="1"/>
  <c r="C26" i="2"/>
  <c r="D26" i="2" s="1"/>
  <c r="E26" i="2" s="1"/>
  <c r="C2" i="2"/>
  <c r="D2" i="2" s="1"/>
  <c r="E2" i="2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" i="2"/>
  <c r="D5" i="1"/>
  <c r="J21" i="2" l="1"/>
  <c r="K21" i="2" s="1"/>
  <c r="J13" i="2"/>
  <c r="K13" i="2" s="1"/>
  <c r="J5" i="2"/>
  <c r="K5" i="2" s="1"/>
  <c r="O16" i="2"/>
  <c r="H14" i="2"/>
  <c r="I14" i="2" s="1"/>
  <c r="E24" i="2"/>
  <c r="E16" i="2"/>
  <c r="E8" i="2"/>
  <c r="H20" i="2"/>
  <c r="J20" i="2" s="1"/>
  <c r="K20" i="2" s="1"/>
  <c r="H11" i="2"/>
  <c r="J11" i="2" s="1"/>
  <c r="K11" i="2" s="1"/>
  <c r="H3" i="2"/>
  <c r="I3" i="2" s="1"/>
  <c r="F19" i="2"/>
  <c r="F11" i="2"/>
  <c r="F3" i="2"/>
  <c r="J19" i="2"/>
  <c r="K19" i="2" s="1"/>
  <c r="F26" i="2"/>
  <c r="F18" i="2"/>
  <c r="F10" i="2"/>
  <c r="F2" i="2"/>
  <c r="J12" i="2"/>
  <c r="K12" i="2" s="1"/>
  <c r="F25" i="2"/>
  <c r="F17" i="2"/>
  <c r="F9" i="2"/>
  <c r="H4" i="2"/>
  <c r="J4" i="2" s="1"/>
  <c r="K4" i="2" s="1"/>
  <c r="O24" i="2"/>
  <c r="J23" i="2"/>
  <c r="K23" i="2" s="1"/>
  <c r="J15" i="2"/>
  <c r="K15" i="2" s="1"/>
  <c r="O22" i="2"/>
  <c r="J22" i="2"/>
  <c r="K22" i="2" s="1"/>
  <c r="J6" i="2"/>
  <c r="K6" i="2" s="1"/>
  <c r="H23" i="2"/>
  <c r="H15" i="2"/>
  <c r="H7" i="2"/>
  <c r="J7" i="2" s="1"/>
  <c r="K7" i="2" s="1"/>
  <c r="J26" i="2"/>
  <c r="K26" i="2" s="1"/>
  <c r="J18" i="2"/>
  <c r="K18" i="2" s="1"/>
  <c r="J10" i="2"/>
  <c r="K10" i="2" s="1"/>
  <c r="J25" i="2"/>
  <c r="K25" i="2" s="1"/>
  <c r="J17" i="2"/>
  <c r="K17" i="2" s="1"/>
  <c r="J9" i="2"/>
  <c r="K9" i="2" s="1"/>
  <c r="J24" i="2"/>
  <c r="K24" i="2" s="1"/>
  <c r="J16" i="2"/>
  <c r="K16" i="2" s="1"/>
  <c r="J8" i="2"/>
  <c r="K8" i="2" s="1"/>
  <c r="O14" i="2"/>
  <c r="N2" i="2"/>
  <c r="P2" i="2" s="1"/>
  <c r="O11" i="2"/>
  <c r="N20" i="2"/>
  <c r="P20" i="2" s="1"/>
  <c r="N12" i="2"/>
  <c r="P12" i="2" s="1"/>
  <c r="N4" i="2"/>
  <c r="P4" i="2" s="1"/>
  <c r="N21" i="2"/>
  <c r="P21" i="2" s="1"/>
  <c r="N26" i="2"/>
  <c r="P26" i="2" s="1"/>
  <c r="N18" i="2"/>
  <c r="P18" i="2" s="1"/>
  <c r="N10" i="2"/>
  <c r="P10" i="2" s="1"/>
  <c r="N25" i="2"/>
  <c r="P25" i="2" s="1"/>
  <c r="N17" i="2"/>
  <c r="P17" i="2" s="1"/>
  <c r="N9" i="2"/>
  <c r="P9" i="2" s="1"/>
  <c r="N13" i="2"/>
  <c r="P13" i="2" s="1"/>
  <c r="I8" i="2"/>
  <c r="I23" i="2"/>
  <c r="I22" i="2"/>
  <c r="I6" i="2"/>
  <c r="I19" i="2"/>
  <c r="I21" i="2"/>
  <c r="I12" i="2"/>
  <c r="I26" i="2"/>
  <c r="I18" i="2"/>
  <c r="I10" i="2"/>
  <c r="I5" i="2"/>
  <c r="I4" i="2"/>
  <c r="I2" i="2"/>
  <c r="J2" i="2"/>
  <c r="K2" i="2" s="1"/>
  <c r="I25" i="2"/>
  <c r="I17" i="2"/>
  <c r="I13" i="2"/>
  <c r="I9" i="2"/>
  <c r="I24" i="2"/>
  <c r="I15" i="2"/>
  <c r="I16" i="2"/>
  <c r="J14" i="2" l="1"/>
  <c r="K14" i="2" s="1"/>
  <c r="I11" i="2"/>
  <c r="I20" i="2"/>
  <c r="I7" i="2"/>
  <c r="J3" i="2"/>
  <c r="K3" i="2" s="1"/>
</calcChain>
</file>

<file path=xl/sharedStrings.xml><?xml version="1.0" encoding="utf-8"?>
<sst xmlns="http://schemas.openxmlformats.org/spreadsheetml/2006/main" count="501" uniqueCount="277">
  <si>
    <t>Customer ID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</si>
  <si>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</si>
  <si>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</si>
  <si>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</si>
  <si>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</si>
  <si>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</si>
  <si>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</si>
  <si>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</si>
  <si>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</si>
  <si>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</si>
  <si>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</si>
  <si>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</si>
  <si>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</si>
  <si>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</si>
  <si>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</si>
  <si>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</si>
  <si>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</si>
  <si>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</si>
  <si>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</si>
  <si>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</si>
  <si>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</si>
  <si>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</si>
  <si>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</si>
  <si>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</si>
  <si>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</si>
  <si>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</si>
  <si>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 xml:space="preserve">  ram  sharma  </t>
  </si>
  <si>
    <t>1234567890-AB</t>
  </si>
  <si>
    <t xml:space="preserve">+977  98-76543210 </t>
  </si>
  <si>
    <t xml:space="preserve"> ram.sharma@email.com </t>
  </si>
  <si>
    <t xml:space="preserve"> NABIL0001234 </t>
  </si>
  <si>
    <t>22-02-19</t>
  </si>
  <si>
    <t xml:space="preserve"> NPR  1</t>
  </si>
  <si>
    <t>Customer_ID</t>
  </si>
  <si>
    <t>Raw_Customer_Name</t>
  </si>
  <si>
    <t>Raw_Account_Number</t>
  </si>
  <si>
    <t>Raw_Phone_Number</t>
  </si>
  <si>
    <t>Raw_Email</t>
  </si>
  <si>
    <t>Raw_Branch_Code</t>
  </si>
  <si>
    <t>Raw_Last_Transaction_Date</t>
  </si>
  <si>
    <t>Raw_Balance</t>
  </si>
  <si>
    <t>SITA   DEVI</t>
  </si>
  <si>
    <t>+97798 7654321</t>
  </si>
  <si>
    <t>sita.devi@bank.np</t>
  </si>
  <si>
    <t xml:space="preserve"> NABIL  001234</t>
  </si>
  <si>
    <t>31-10-18</t>
  </si>
  <si>
    <t xml:space="preserve"> NPR2</t>
  </si>
  <si>
    <t xml:space="preserve">  Hari Prasad   Khanal </t>
  </si>
  <si>
    <t>12-34567890</t>
  </si>
  <si>
    <t xml:space="preserve">+977  9841234567 </t>
  </si>
  <si>
    <t>hari.prasad@gmail.com</t>
  </si>
  <si>
    <t>NBLB0005678</t>
  </si>
  <si>
    <t xml:space="preserve">  Gita  Kumari  </t>
  </si>
  <si>
    <t>9876543-210AB</t>
  </si>
  <si>
    <t xml:space="preserve">gita@outlook.com </t>
  </si>
  <si>
    <t xml:space="preserve"> NABIL0009876</t>
  </si>
  <si>
    <t xml:space="preserve"> NPR  67</t>
  </si>
  <si>
    <t xml:space="preserve">  Bikash  Thapa  </t>
  </si>
  <si>
    <t xml:space="preserve"> +977  986543210 </t>
  </si>
  <si>
    <t>bikash.thapa@fintech.np</t>
  </si>
  <si>
    <t>PRAB0001234</t>
  </si>
  <si>
    <t xml:space="preserve">19-07-18 </t>
  </si>
  <si>
    <t>NPR  12</t>
  </si>
  <si>
    <t xml:space="preserve">  Sushma  Sharma  </t>
  </si>
  <si>
    <t>987-654-3210</t>
  </si>
  <si>
    <t xml:space="preserve">sushma.sharma@yahoo.com </t>
  </si>
  <si>
    <t>NIBL0004321</t>
  </si>
  <si>
    <t>22-04-18</t>
  </si>
  <si>
    <t xml:space="preserve">  Krishna  Bahadur  </t>
  </si>
  <si>
    <t xml:space="preserve">+977  97-6543210 </t>
  </si>
  <si>
    <t>krishna.bdr@gmail.com</t>
  </si>
  <si>
    <t xml:space="preserve"> NABIL  005678</t>
  </si>
  <si>
    <t>14-02-19</t>
  </si>
  <si>
    <t>NPR1</t>
  </si>
  <si>
    <t xml:space="preserve">  Laxmi   Devi  </t>
  </si>
  <si>
    <t>9876543210-XY</t>
  </si>
  <si>
    <t xml:space="preserve">laxmi.devi@bank.com </t>
  </si>
  <si>
    <t>PRAB0009876</t>
  </si>
  <si>
    <t xml:space="preserve">21-09-19 </t>
  </si>
  <si>
    <t xml:space="preserve">  Rajesh  KC  </t>
  </si>
  <si>
    <t>12-3456789012</t>
  </si>
  <si>
    <t xml:space="preserve">+977  9807654321 </t>
  </si>
  <si>
    <t>rajesh.kc@fintech.np</t>
  </si>
  <si>
    <t>NBLB0001111</t>
  </si>
  <si>
    <t>24-10-19</t>
  </si>
  <si>
    <t>NPR  23</t>
  </si>
  <si>
    <t xml:space="preserve">  Anita   Shrestha  </t>
  </si>
  <si>
    <t>+977  98-7654  3210</t>
  </si>
  <si>
    <t xml:space="preserve">anita.shrestha@gmail.com </t>
  </si>
  <si>
    <t xml:space="preserve"> NABIL0002222</t>
  </si>
  <si>
    <t>26-02-20</t>
  </si>
  <si>
    <t xml:space="preserve"> NPR  78</t>
  </si>
  <si>
    <t xml:space="preserve">  Deepak  Pandey </t>
  </si>
  <si>
    <t>1234-567890AB</t>
  </si>
  <si>
    <t>deepak.pandey@bank.np</t>
  </si>
  <si>
    <t>PRAB0003333</t>
  </si>
  <si>
    <t xml:space="preserve">  Meena   Gurung  </t>
  </si>
  <si>
    <t>+977  97 654 3210</t>
  </si>
  <si>
    <t xml:space="preserve">meena.gurung@yahoo.com </t>
  </si>
  <si>
    <t>NIBL0004444</t>
  </si>
  <si>
    <t xml:space="preserve">22-02-19 </t>
  </si>
  <si>
    <t>NPR  1</t>
  </si>
  <si>
    <t xml:space="preserve">  Suman  Thapa   </t>
  </si>
  <si>
    <t>suman.thapa@fintech.np</t>
  </si>
  <si>
    <t xml:space="preserve"> NABIL0005555</t>
  </si>
  <si>
    <t xml:space="preserve">  Priya  Sharma </t>
  </si>
  <si>
    <t>9876543210AB</t>
  </si>
  <si>
    <t>+977  98-76543210</t>
  </si>
  <si>
    <t xml:space="preserve">priya.sharma@gmail.com </t>
  </si>
  <si>
    <t>PRAB0006666</t>
  </si>
  <si>
    <t>NPR  90</t>
  </si>
  <si>
    <t xml:space="preserve">  Ramesh   KC  </t>
  </si>
  <si>
    <t xml:space="preserve">+977  986543210 </t>
  </si>
  <si>
    <t>ramesh.kc@bank.np</t>
  </si>
  <si>
    <t>NBLB0007777</t>
  </si>
  <si>
    <t xml:space="preserve">  Sunita  Devi  </t>
  </si>
  <si>
    <t xml:space="preserve">sunita.devi@outlook.com </t>
  </si>
  <si>
    <t xml:space="preserve"> NABIL0008888</t>
  </si>
  <si>
    <t>19-07-18</t>
  </si>
  <si>
    <t>NPR  67</t>
  </si>
  <si>
    <t xml:space="preserve">  Anil  Bahadur  </t>
  </si>
  <si>
    <t>+977  97-6543210</t>
  </si>
  <si>
    <t>anil.bdr@gmail.com</t>
  </si>
  <si>
    <t>PRAB0009999</t>
  </si>
  <si>
    <t xml:space="preserve">22-04-18 </t>
  </si>
  <si>
    <t xml:space="preserve">  Pooja   Shrestha </t>
  </si>
  <si>
    <t>+977  98 7654  3210</t>
  </si>
  <si>
    <t>pooja.shrestha@fintech.np</t>
  </si>
  <si>
    <t>NIBL0000001</t>
  </si>
  <si>
    <t xml:space="preserve">  Mohan   Pandey  </t>
  </si>
  <si>
    <t xml:space="preserve">mohan.pandey@yahoo.com </t>
  </si>
  <si>
    <t xml:space="preserve"> NABIL0001112</t>
  </si>
  <si>
    <t xml:space="preserve">  Rekha   Gurung  </t>
  </si>
  <si>
    <t>+977  9865432109</t>
  </si>
  <si>
    <t>rekha.gurung@bank.np</t>
  </si>
  <si>
    <t>PRAB0002223</t>
  </si>
  <si>
    <t xml:space="preserve">24-10-19 </t>
  </si>
  <si>
    <t xml:space="preserve">  Bijay  Thapa </t>
  </si>
  <si>
    <t xml:space="preserve">bijay.thapa@gmail.com </t>
  </si>
  <si>
    <t>NBLB0003334</t>
  </si>
  <si>
    <t xml:space="preserve">  Sarita   KC  </t>
  </si>
  <si>
    <t xml:space="preserve">9876543-210 </t>
  </si>
  <si>
    <t>sarita.kc@fintech.np</t>
  </si>
  <si>
    <t xml:space="preserve"> NABIL0004445</t>
  </si>
  <si>
    <t xml:space="preserve">  Dinesh  Sharma  </t>
  </si>
  <si>
    <t>dinesh.sharma@bank.np</t>
  </si>
  <si>
    <t>PRAB0005556</t>
  </si>
  <si>
    <t xml:space="preserve">  Kabita   Devi  </t>
  </si>
  <si>
    <t xml:space="preserve">kabita.devi@gmail.com </t>
  </si>
  <si>
    <t>NIBL0006667</t>
  </si>
  <si>
    <t xml:space="preserve">  Govinda  Bahadur </t>
  </si>
  <si>
    <t xml:space="preserve">govinda.bdr@outlook.com </t>
  </si>
  <si>
    <t xml:space="preserve"> NABIL0007778</t>
  </si>
  <si>
    <t>Customer name</t>
  </si>
  <si>
    <t>Account Number</t>
  </si>
  <si>
    <t>final account number</t>
  </si>
  <si>
    <t>Phone Number</t>
  </si>
  <si>
    <t>len</t>
  </si>
  <si>
    <t>final</t>
  </si>
  <si>
    <t>email</t>
  </si>
  <si>
    <t>Branch code</t>
  </si>
  <si>
    <t>clean branch code</t>
  </si>
  <si>
    <t>clean branch id</t>
  </si>
  <si>
    <t>clean balance</t>
  </si>
  <si>
    <t>validation</t>
  </si>
  <si>
    <t>masking</t>
  </si>
  <si>
    <t>transactions</t>
  </si>
  <si>
    <t>Customer_Name</t>
  </si>
  <si>
    <t>Account_Validation</t>
  </si>
  <si>
    <t>Masked_Account</t>
  </si>
  <si>
    <t>Email</t>
  </si>
  <si>
    <t>Ram Sharma</t>
  </si>
  <si>
    <t>1234567890</t>
  </si>
  <si>
    <t>Valid Account</t>
  </si>
  <si>
    <t>123456XXXX</t>
  </si>
  <si>
    <t>9876543210</t>
  </si>
  <si>
    <t>Valid Number</t>
  </si>
  <si>
    <t>ram.sharma@email.com</t>
  </si>
  <si>
    <t>NABIL0001234</t>
  </si>
  <si>
    <t>NABIL</t>
  </si>
  <si>
    <t>01234</t>
  </si>
  <si>
    <t>22/02/19</t>
  </si>
  <si>
    <t>Sita Devi</t>
  </si>
  <si>
    <t>987654XXXX</t>
  </si>
  <si>
    <t>review- Incomplete number</t>
  </si>
  <si>
    <t>NABIL001234</t>
  </si>
  <si>
    <t>31/10/18</t>
  </si>
  <si>
    <t>Hari Prasad Khanal</t>
  </si>
  <si>
    <t>NBLB</t>
  </si>
  <si>
    <t>05678</t>
  </si>
  <si>
    <t>04/02/2018</t>
  </si>
  <si>
    <t>Gita Kumari</t>
  </si>
  <si>
    <t>gita@outlook.com</t>
  </si>
  <si>
    <t>NABIL0009876</t>
  </si>
  <si>
    <t>09876</t>
  </si>
  <si>
    <t>11/08/2018</t>
  </si>
  <si>
    <t>Bikash Thapa</t>
  </si>
  <si>
    <t>12345678901</t>
  </si>
  <si>
    <t>Review</t>
  </si>
  <si>
    <t>123456XXXXX</t>
  </si>
  <si>
    <t>PRAB</t>
  </si>
  <si>
    <t xml:space="preserve">19/07/18 </t>
  </si>
  <si>
    <t>Sushma Sharma</t>
  </si>
  <si>
    <t>sushma.sharma@yahoo.com</t>
  </si>
  <si>
    <t>NIBL</t>
  </si>
  <si>
    <t>04321</t>
  </si>
  <si>
    <t>22/04/18</t>
  </si>
  <si>
    <t>Krishna Bahadur</t>
  </si>
  <si>
    <t>NABIL005678</t>
  </si>
  <si>
    <t>14/02/19</t>
  </si>
  <si>
    <t>Laxmi Devi</t>
  </si>
  <si>
    <t>laxmi.devi@bank.com</t>
  </si>
  <si>
    <t xml:space="preserve">21/09/19 </t>
  </si>
  <si>
    <t>Rajesh Kc</t>
  </si>
  <si>
    <t>123456789012</t>
  </si>
  <si>
    <t>123456XXXXXX</t>
  </si>
  <si>
    <t>01111</t>
  </si>
  <si>
    <t>24/10/19</t>
  </si>
  <si>
    <t>Anita Shrestha</t>
  </si>
  <si>
    <t>anita.shrestha@gmail.com</t>
  </si>
  <si>
    <t>NABIL0002222</t>
  </si>
  <si>
    <t>02222</t>
  </si>
  <si>
    <t>26/02/20</t>
  </si>
  <si>
    <t>Deepak Pandey</t>
  </si>
  <si>
    <t>03333</t>
  </si>
  <si>
    <t>07/10/2019</t>
  </si>
  <si>
    <t>Meena Gurung</t>
  </si>
  <si>
    <t>meena.gurung@yahoo.com</t>
  </si>
  <si>
    <t>04444</t>
  </si>
  <si>
    <t xml:space="preserve">22/02/19 </t>
  </si>
  <si>
    <t>Suman Thapa</t>
  </si>
  <si>
    <t>NABIL0005555</t>
  </si>
  <si>
    <t>05555</t>
  </si>
  <si>
    <t>Priya Sharma</t>
  </si>
  <si>
    <t>priya.sharma@gmail.com</t>
  </si>
  <si>
    <t>06666</t>
  </si>
  <si>
    <t>Ramesh Kc</t>
  </si>
  <si>
    <t>07777</t>
  </si>
  <si>
    <t>Sunita Devi</t>
  </si>
  <si>
    <t>sunita.devi@outlook.com</t>
  </si>
  <si>
    <t>NABIL0008888</t>
  </si>
  <si>
    <t>08888</t>
  </si>
  <si>
    <t>19/07/18</t>
  </si>
  <si>
    <t>Anil Bahadur</t>
  </si>
  <si>
    <t>09999</t>
  </si>
  <si>
    <t xml:space="preserve">22/04/18 </t>
  </si>
  <si>
    <t>Pooja Shrestha</t>
  </si>
  <si>
    <t>00001</t>
  </si>
  <si>
    <t>Mohan Pandey</t>
  </si>
  <si>
    <t>mohan.pandey@yahoo.com</t>
  </si>
  <si>
    <t>NABIL0001112</t>
  </si>
  <si>
    <t>01112</t>
  </si>
  <si>
    <t>Rekha Gurung</t>
  </si>
  <si>
    <t>02223</t>
  </si>
  <si>
    <t xml:space="preserve">24/10/19 </t>
  </si>
  <si>
    <t>Bijay Thapa</t>
  </si>
  <si>
    <t>bijay.thapa@gmail.com</t>
  </si>
  <si>
    <t>03334</t>
  </si>
  <si>
    <t>Sarita Kc</t>
  </si>
  <si>
    <t>NABIL0004445</t>
  </si>
  <si>
    <t>04445</t>
  </si>
  <si>
    <t>Dinesh Sharma</t>
  </si>
  <si>
    <t>05556</t>
  </si>
  <si>
    <t>Kabita Devi</t>
  </si>
  <si>
    <t>kabita.devi@gmail.com</t>
  </si>
  <si>
    <t>06667</t>
  </si>
  <si>
    <t>Govinda Bahadur</t>
  </si>
  <si>
    <t>govinda.bdr@outlook.com</t>
  </si>
  <si>
    <t>NABIL0007778</t>
  </si>
  <si>
    <t>07778</t>
  </si>
  <si>
    <t>Final Account Number</t>
  </si>
  <si>
    <t>Phone Number Clean</t>
  </si>
  <si>
    <t>Phone Number Status</t>
  </si>
  <si>
    <t>Branch Code</t>
  </si>
  <si>
    <t>Clean Branch ID</t>
  </si>
  <si>
    <t>Clean Branch Code</t>
  </si>
  <si>
    <t>Clean Last Transaction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</si>
</sst>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₹-861]\ * #,##0.00_-;\-[$₹-861]\ * #,##0.00_-;_-[$₹-861]\ * &quot;-&quot;??_-;_-@_-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_-[$₹-861]\ * #,##0.00_-;\-[$₹-861]\ * #,##0.00_-;_-[$₹-861]\ * &quot;-&quot;??_-;_-@_-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0718E5-2B96-40CA-8374-5B1B7E59B421}" name="Table3" displayName="Table3" ref="A1:M26" totalsRowShown="0" headerRowDxfId="0">
  <autoFilter ref="A1:M26" xr:uid="{D70718E5-2B96-40CA-8374-5B1B7E59B421}"/>
  <tableColumns count="13">
    <tableColumn id="1" xr3:uid="{6858788D-7095-4388-9474-4A16A77D159B}" name="Customer_ID"/>
    <tableColumn id="2" xr3:uid="{FCE06D5D-2ED2-400F-A473-EFE6963B9462}" name="Customer_Name"/>
    <tableColumn id="3" xr3:uid="{D218151C-69F8-41B4-8741-AA370097FD16}" name="Final Account Number"/>
    <tableColumn id="4" xr3:uid="{B0C93368-515A-4100-AF48-A6E22526B23B}" name="Account_Validation"/>
    <tableColumn id="5" xr3:uid="{AC1C4F3C-F6FD-4F98-98C6-3E700EDEF5EB}" name="Masked_Account"/>
    <tableColumn id="6" xr3:uid="{1EA9BB47-876C-4BD7-B321-D9ADF3F9A6A5}" name="Phone Number Clean"/>
    <tableColumn id="7" xr3:uid="{C392B045-6066-47D7-A522-8C0706F797E4}" name="Phone Number Status"/>
    <tableColumn id="8" xr3:uid="{F7AE5CAE-E98C-4DA1-9383-69F25DDDD948}" name="Email"/>
    <tableColumn id="9" xr3:uid="{69D9F906-CF6C-4374-9A76-A4223C102A36}" name="Branch Code"/>
    <tableColumn id="10" xr3:uid="{5A5A46ED-8F24-4422-8E07-C9BE675DCD08}" name="Clean Branch ID"/>
    <tableColumn id="11" xr3:uid="{B21F93DF-6E68-4C25-A97A-AD1E82E59724}" name="Clean Branch Code"/>
    <tableColumn id="12" xr3:uid="{F4CC9AD8-EBBD-4AF5-BC81-F91AAF2605DD}" name="Clean Last Transaction Date" dataDxfId="2"/>
    <tableColumn id="13" xr3:uid="{FF070993-2F5D-4BF8-B62E-6DA60BC6764B}" name="clean balanc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C128E-BA48-41DF-AEFE-C4AE2C365C27}">
  <sheetPr>
    <tabColor rgb="FFFF0000"/>
  </sheetPr>
  <dimension ref="A1:L26"/>
  <sheetViews>
    <sheetView zoomScale="87" workbookViewId="0">
      <selection activeCell="B27" sqref="B27"/>
    </sheetView>
  </sheetViews>
  <sheetFormatPr defaultRowHeight="14.4" x14ac:dyDescent="0.55000000000000004"/>
  <cols>
    <col min="1" max="1" width="10.83984375" bestFit="1" customWidth="1"/>
    <col min="2" max="2" width="18.05078125" bestFit="1" customWidth="1"/>
    <col min="3" max="3" width="18.5234375" bestFit="1" customWidth="1"/>
    <col min="4" max="4" width="17" bestFit="1" customWidth="1"/>
    <col min="5" max="5" width="24.05078125" bestFit="1" customWidth="1"/>
    <col min="6" max="6" width="15.3125" bestFit="1" customWidth="1"/>
    <col min="7" max="7" width="22.578125" bestFit="1" customWidth="1"/>
    <col min="8" max="8" width="11.1015625" bestFit="1" customWidth="1"/>
    <col min="9" max="10" width="6.68359375" bestFit="1" customWidth="1"/>
  </cols>
  <sheetData>
    <row r="1" spans="1:10" x14ac:dyDescent="0.55000000000000004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10" x14ac:dyDescent="0.55000000000000004">
      <c r="A2" t="s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23</v>
      </c>
      <c r="J2">
        <v>456.78</v>
      </c>
    </row>
    <row r="3" spans="1:10" x14ac:dyDescent="0.55000000000000004">
      <c r="A3" t="s">
        <v>2</v>
      </c>
      <c r="B3" t="s">
        <v>41</v>
      </c>
      <c r="C3">
        <v>9876543210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>
        <v>34</v>
      </c>
      <c r="J3">
        <v>567</v>
      </c>
    </row>
    <row r="4" spans="1:10" x14ac:dyDescent="0.55000000000000004">
      <c r="A4" t="s">
        <v>3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s="1">
        <v>43135</v>
      </c>
      <c r="H4">
        <v>45</v>
      </c>
      <c r="I4">
        <v>678.9</v>
      </c>
    </row>
    <row r="5" spans="1:10" x14ac:dyDescent="0.55000000000000004">
      <c r="A5" t="s">
        <v>4</v>
      </c>
      <c r="B5" t="s">
        <v>52</v>
      </c>
      <c r="C5" t="s">
        <v>53</v>
      </c>
      <c r="D5">
        <f>977 - 9801234567</f>
        <v>-9801233590</v>
      </c>
      <c r="E5" t="s">
        <v>54</v>
      </c>
      <c r="F5" t="s">
        <v>55</v>
      </c>
      <c r="G5" s="1">
        <v>43323</v>
      </c>
      <c r="H5" t="s">
        <v>56</v>
      </c>
      <c r="I5">
        <v>890</v>
      </c>
    </row>
    <row r="6" spans="1:10" x14ac:dyDescent="0.55000000000000004">
      <c r="A6" t="s">
        <v>5</v>
      </c>
      <c r="B6" t="s">
        <v>57</v>
      </c>
      <c r="C6">
        <v>12345678901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>
        <v>345.67</v>
      </c>
    </row>
    <row r="7" spans="1:10" x14ac:dyDescent="0.55000000000000004">
      <c r="A7" t="s">
        <v>6</v>
      </c>
      <c r="B7" t="s">
        <v>63</v>
      </c>
      <c r="C7" t="s">
        <v>64</v>
      </c>
      <c r="D7">
        <v>9779854321098</v>
      </c>
      <c r="E7" t="s">
        <v>65</v>
      </c>
      <c r="F7" t="s">
        <v>66</v>
      </c>
      <c r="G7" t="s">
        <v>67</v>
      </c>
      <c r="H7">
        <v>98</v>
      </c>
      <c r="I7">
        <v>765</v>
      </c>
    </row>
    <row r="8" spans="1:10" x14ac:dyDescent="0.55000000000000004">
      <c r="A8" t="s">
        <v>7</v>
      </c>
      <c r="B8" t="s">
        <v>68</v>
      </c>
      <c r="C8">
        <v>1234567890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>
        <v>23</v>
      </c>
      <c r="J8">
        <v>456</v>
      </c>
    </row>
    <row r="9" spans="1:10" x14ac:dyDescent="0.55000000000000004">
      <c r="A9" t="s">
        <v>8</v>
      </c>
      <c r="B9" t="s">
        <v>74</v>
      </c>
      <c r="C9" t="s">
        <v>75</v>
      </c>
      <c r="D9">
        <v>977984123456</v>
      </c>
      <c r="E9" t="s">
        <v>76</v>
      </c>
      <c r="F9" t="s">
        <v>77</v>
      </c>
      <c r="G9" t="s">
        <v>78</v>
      </c>
      <c r="H9">
        <v>5</v>
      </c>
      <c r="I9">
        <v>67</v>
      </c>
      <c r="J9">
        <v>890</v>
      </c>
    </row>
    <row r="10" spans="1:10" x14ac:dyDescent="0.55000000000000004">
      <c r="A10" t="s">
        <v>9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85</v>
      </c>
      <c r="I10">
        <v>456</v>
      </c>
    </row>
    <row r="11" spans="1:10" x14ac:dyDescent="0.55000000000000004">
      <c r="A11" t="s">
        <v>10</v>
      </c>
      <c r="B11" t="s">
        <v>86</v>
      </c>
      <c r="C11">
        <v>9876543210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>
        <v>901.23</v>
      </c>
    </row>
    <row r="12" spans="1:10" x14ac:dyDescent="0.55000000000000004">
      <c r="A12" t="s">
        <v>11</v>
      </c>
      <c r="B12" t="s">
        <v>92</v>
      </c>
      <c r="C12" t="s">
        <v>93</v>
      </c>
      <c r="D12">
        <v>9779865432109</v>
      </c>
      <c r="E12" t="s">
        <v>94</v>
      </c>
      <c r="F12" t="s">
        <v>95</v>
      </c>
      <c r="G12" s="1">
        <v>43745</v>
      </c>
      <c r="H12">
        <v>34</v>
      </c>
      <c r="I12">
        <v>567.89</v>
      </c>
    </row>
    <row r="13" spans="1:10" x14ac:dyDescent="0.55000000000000004">
      <c r="A13" t="s">
        <v>12</v>
      </c>
      <c r="B13" t="s">
        <v>96</v>
      </c>
      <c r="C13">
        <v>9876543210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>
        <v>11</v>
      </c>
      <c r="J13">
        <v>222</v>
      </c>
    </row>
    <row r="14" spans="1:10" x14ac:dyDescent="0.55000000000000004">
      <c r="A14" t="s">
        <v>13</v>
      </c>
      <c r="B14" t="s">
        <v>102</v>
      </c>
      <c r="C14" t="s">
        <v>48</v>
      </c>
      <c r="D14">
        <v>9779841234567</v>
      </c>
      <c r="E14" t="s">
        <v>103</v>
      </c>
      <c r="F14" t="s">
        <v>104</v>
      </c>
      <c r="G14" t="s">
        <v>45</v>
      </c>
      <c r="H14">
        <v>56</v>
      </c>
      <c r="I14">
        <v>789</v>
      </c>
    </row>
    <row r="15" spans="1:10" x14ac:dyDescent="0.55000000000000004">
      <c r="A15" t="s">
        <v>14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s="1">
        <v>43135</v>
      </c>
      <c r="H15" t="s">
        <v>110</v>
      </c>
      <c r="I15">
        <v>123.45</v>
      </c>
    </row>
    <row r="16" spans="1:10" x14ac:dyDescent="0.55000000000000004">
      <c r="A16" t="s">
        <v>15</v>
      </c>
      <c r="B16" t="s">
        <v>111</v>
      </c>
      <c r="C16">
        <v>1234567890</v>
      </c>
      <c r="D16" t="s">
        <v>112</v>
      </c>
      <c r="E16" t="s">
        <v>113</v>
      </c>
      <c r="F16" t="s">
        <v>114</v>
      </c>
      <c r="G16" s="1">
        <v>43323</v>
      </c>
      <c r="H16">
        <v>12</v>
      </c>
      <c r="I16">
        <v>345</v>
      </c>
    </row>
    <row r="17" spans="1:12" x14ac:dyDescent="0.55000000000000004">
      <c r="A17" t="s">
        <v>16</v>
      </c>
      <c r="B17" t="s">
        <v>115</v>
      </c>
      <c r="C17" t="s">
        <v>64</v>
      </c>
      <c r="D17">
        <v>9779854321098</v>
      </c>
      <c r="E17" t="s">
        <v>116</v>
      </c>
      <c r="F17" t="s">
        <v>117</v>
      </c>
      <c r="G17" t="s">
        <v>118</v>
      </c>
      <c r="H17" t="s">
        <v>119</v>
      </c>
      <c r="I17">
        <v>890.12</v>
      </c>
    </row>
    <row r="18" spans="1:12" x14ac:dyDescent="0.55000000000000004">
      <c r="A18" t="s">
        <v>17</v>
      </c>
      <c r="B18" t="s">
        <v>120</v>
      </c>
      <c r="C18">
        <v>12345678901</v>
      </c>
      <c r="D18" t="s">
        <v>121</v>
      </c>
      <c r="E18" t="s">
        <v>122</v>
      </c>
      <c r="F18" t="s">
        <v>123</v>
      </c>
      <c r="G18" t="s">
        <v>124</v>
      </c>
      <c r="H18">
        <v>45</v>
      </c>
      <c r="I18">
        <v>678.9</v>
      </c>
    </row>
    <row r="19" spans="1:12" x14ac:dyDescent="0.55000000000000004">
      <c r="A19" t="s">
        <v>18</v>
      </c>
      <c r="B19" t="s">
        <v>125</v>
      </c>
      <c r="C19">
        <v>9876543210</v>
      </c>
      <c r="D19" t="s">
        <v>126</v>
      </c>
      <c r="E19" t="s">
        <v>127</v>
      </c>
      <c r="F19" t="s">
        <v>128</v>
      </c>
      <c r="G19" t="s">
        <v>72</v>
      </c>
      <c r="H19" t="s">
        <v>85</v>
      </c>
      <c r="I19">
        <v>456.78</v>
      </c>
    </row>
    <row r="20" spans="1:12" x14ac:dyDescent="0.55000000000000004">
      <c r="A20" t="s">
        <v>19</v>
      </c>
      <c r="B20" t="s">
        <v>129</v>
      </c>
      <c r="C20" t="s">
        <v>48</v>
      </c>
      <c r="D20">
        <v>977984123456</v>
      </c>
      <c r="E20" t="s">
        <v>130</v>
      </c>
      <c r="F20" t="s">
        <v>131</v>
      </c>
      <c r="G20" t="s">
        <v>78</v>
      </c>
      <c r="H20">
        <v>78</v>
      </c>
      <c r="I20">
        <v>901</v>
      </c>
    </row>
    <row r="21" spans="1:12" x14ac:dyDescent="0.55000000000000004">
      <c r="A21" t="s">
        <v>20</v>
      </c>
      <c r="B21" t="s">
        <v>132</v>
      </c>
      <c r="C21" t="s">
        <v>75</v>
      </c>
      <c r="D21" t="s">
        <v>133</v>
      </c>
      <c r="E21" t="s">
        <v>134</v>
      </c>
      <c r="F21" t="s">
        <v>135</v>
      </c>
      <c r="G21" t="s">
        <v>136</v>
      </c>
      <c r="H21" t="s">
        <v>101</v>
      </c>
      <c r="I21">
        <v>23</v>
      </c>
      <c r="J21">
        <v>456</v>
      </c>
      <c r="L21" s="6"/>
    </row>
    <row r="22" spans="1:12" x14ac:dyDescent="0.55000000000000004">
      <c r="A22" t="s">
        <v>21</v>
      </c>
      <c r="B22" t="s">
        <v>137</v>
      </c>
      <c r="C22">
        <v>1234567890</v>
      </c>
      <c r="D22" t="s">
        <v>97</v>
      </c>
      <c r="E22" t="s">
        <v>138</v>
      </c>
      <c r="F22" t="s">
        <v>139</v>
      </c>
      <c r="G22" t="s">
        <v>90</v>
      </c>
      <c r="H22">
        <v>56</v>
      </c>
      <c r="I22">
        <v>789</v>
      </c>
    </row>
    <row r="23" spans="1:12" x14ac:dyDescent="0.55000000000000004">
      <c r="A23" t="s">
        <v>22</v>
      </c>
      <c r="B23" t="s">
        <v>140</v>
      </c>
      <c r="C23" t="s">
        <v>141</v>
      </c>
      <c r="D23">
        <v>9779807654321</v>
      </c>
      <c r="E23" t="s">
        <v>142</v>
      </c>
      <c r="F23" t="s">
        <v>143</v>
      </c>
      <c r="G23" s="1">
        <v>43745</v>
      </c>
      <c r="H23" t="s">
        <v>110</v>
      </c>
      <c r="I23">
        <v>123</v>
      </c>
    </row>
    <row r="24" spans="1:12" x14ac:dyDescent="0.55000000000000004">
      <c r="A24" t="s">
        <v>23</v>
      </c>
      <c r="B24" t="s">
        <v>144</v>
      </c>
      <c r="C24" t="s">
        <v>93</v>
      </c>
      <c r="D24" t="s">
        <v>107</v>
      </c>
      <c r="E24" t="s">
        <v>145</v>
      </c>
      <c r="F24" t="s">
        <v>146</v>
      </c>
      <c r="G24" t="s">
        <v>100</v>
      </c>
      <c r="H24">
        <v>12</v>
      </c>
      <c r="I24">
        <v>345.67</v>
      </c>
    </row>
    <row r="25" spans="1:12" x14ac:dyDescent="0.55000000000000004">
      <c r="A25" t="s">
        <v>24</v>
      </c>
      <c r="B25" t="s">
        <v>147</v>
      </c>
      <c r="C25">
        <v>9876543210</v>
      </c>
      <c r="D25" t="s">
        <v>112</v>
      </c>
      <c r="E25" t="s">
        <v>148</v>
      </c>
      <c r="F25" t="s">
        <v>149</v>
      </c>
      <c r="G25" t="s">
        <v>45</v>
      </c>
      <c r="H25" t="s">
        <v>119</v>
      </c>
      <c r="I25">
        <v>890</v>
      </c>
    </row>
    <row r="26" spans="1:12" x14ac:dyDescent="0.55000000000000004">
      <c r="A26" t="s">
        <v>25</v>
      </c>
      <c r="B26" t="s">
        <v>150</v>
      </c>
      <c r="C26" t="s">
        <v>80</v>
      </c>
      <c r="D26" t="s">
        <v>121</v>
      </c>
      <c r="E26" t="s">
        <v>151</v>
      </c>
      <c r="F26" t="s">
        <v>152</v>
      </c>
      <c r="G26" s="1">
        <v>43135</v>
      </c>
      <c r="H26">
        <v>45</v>
      </c>
      <c r="I26">
        <v>678.9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80BE5-D6BC-41B6-9EF3-5962A5A4DB2A}">
  <sheetPr>
    <tabColor theme="9" tint="0.59999389629810485"/>
  </sheetPr>
  <dimension ref="A1:V26"/>
  <sheetViews>
    <sheetView zoomScale="63" zoomScaleNormal="100" workbookViewId="0">
      <selection activeCell="H29" sqref="H29"/>
    </sheetView>
  </sheetViews>
  <sheetFormatPr defaultRowHeight="14.4" x14ac:dyDescent="0.55000000000000004"/>
  <cols>
    <col min="1" max="1" width="10.41796875" bestFit="1" customWidth="1"/>
    <col min="2" max="2" width="15.41796875" bestFit="1" customWidth="1"/>
    <col min="3" max="3" width="13.9453125" bestFit="1" customWidth="1"/>
    <col min="4" max="4" width="17.3671875" bestFit="1" customWidth="1"/>
    <col min="5" max="5" width="11.47265625" bestFit="1" customWidth="1"/>
    <col min="6" max="6" width="12.734375" customWidth="1"/>
    <col min="7" max="7" width="16.05078125" bestFit="1" customWidth="1"/>
    <col min="8" max="8" width="10.68359375" bestFit="1" customWidth="1"/>
    <col min="9" max="9" width="3.1015625" bestFit="1" customWidth="1"/>
    <col min="10" max="10" width="10.68359375" bestFit="1" customWidth="1"/>
    <col min="11" max="11" width="22.05078125" bestFit="1" customWidth="1"/>
    <col min="12" max="12" width="23.68359375" customWidth="1"/>
    <col min="13" max="13" width="12.41796875" bestFit="1" customWidth="1"/>
    <col min="14" max="15" width="15.15625" bestFit="1" customWidth="1"/>
    <col min="16" max="16" width="12.62890625" bestFit="1" customWidth="1"/>
    <col min="17" max="17" width="8.3125" bestFit="1" customWidth="1"/>
    <col min="18" max="18" width="10.3671875" style="1" bestFit="1" customWidth="1"/>
    <col min="19" max="19" width="12.7890625" bestFit="1" customWidth="1"/>
    <col min="20" max="20" width="13.05078125" bestFit="1" customWidth="1"/>
    <col min="21" max="21" width="12.83984375" style="2" bestFit="1" customWidth="1"/>
  </cols>
  <sheetData>
    <row r="1" spans="1:22" x14ac:dyDescent="0.55000000000000004">
      <c r="A1" t="s">
        <v>0</v>
      </c>
      <c r="B1" t="s">
        <v>153</v>
      </c>
      <c r="C1" t="s">
        <v>154</v>
      </c>
      <c r="D1" t="s">
        <v>155</v>
      </c>
      <c r="E1" t="s">
        <v>164</v>
      </c>
      <c r="F1" t="s">
        <v>165</v>
      </c>
      <c r="G1" t="s">
        <v>156</v>
      </c>
      <c r="I1" t="s">
        <v>157</v>
      </c>
      <c r="J1" t="s">
        <v>158</v>
      </c>
      <c r="L1" t="s">
        <v>159</v>
      </c>
      <c r="M1" t="s">
        <v>160</v>
      </c>
      <c r="N1" t="s">
        <v>161</v>
      </c>
      <c r="O1" t="s">
        <v>161</v>
      </c>
      <c r="P1" t="s">
        <v>162</v>
      </c>
      <c r="R1" s="1" t="s">
        <v>166</v>
      </c>
      <c r="U1" s="2" t="s">
        <v>163</v>
      </c>
    </row>
    <row r="2" spans="1:22" x14ac:dyDescent="0.55000000000000004">
      <c r="A2" t="s">
        <v>1</v>
      </c>
      <c r="B2" t="str">
        <f>PROPER(TRIM('dirty data'!B2))</f>
        <v>Ram Sharma</v>
      </c>
      <c r="C2" t="str">
        <f>TRIM('dirty data'!C2)</f>
        <v>1234567890-AB</v>
      </c>
      <c r="D2" t="str">
        <f>SUBSTITUTE(SUBSTITUTE(SUBSTITUTE(C2, "-", ""), "AB", ""), "XY", "")</f>
        <v>1234567890</v>
      </c>
      <c r="E2" t="str">
        <f>IF(AND(LEN(D2)=10,LEN(D2)&lt;=13), "Valid Account", "Review")</f>
        <v>Valid Account</v>
      </c>
      <c r="F2" t="str">
        <f>LEFT(D2,6) &amp; REPT("X",LEN(D2)-6)</f>
        <v>123456XXXX</v>
      </c>
      <c r="G2" t="str">
        <f>TRIM('dirty data'!D2)</f>
        <v>+977 98-76543210</v>
      </c>
      <c r="H2" t="str">
        <f>CLEAN(SUBSTITUTE(SUBSTITUTE(SUBSTITUTE(SUBSTITUTE(G2, "+977", ""), "-",""), "977", "")," ","")) &amp; ""</f>
        <v>9876543210</v>
      </c>
      <c r="I2">
        <f>LEN(H2)</f>
        <v>10</v>
      </c>
      <c r="J2">
        <f>VALUE(H2)</f>
        <v>9876543210</v>
      </c>
      <c r="K2" t="str">
        <f>IF(LEN(J2)=10, "Valid Number",  "review- Incomplete number")</f>
        <v>Valid Number</v>
      </c>
      <c r="L2" t="str">
        <f>TRIM('dirty data'!E2)</f>
        <v>ram.sharma@email.com</v>
      </c>
      <c r="M2" t="str">
        <f>CLEAN(TRIM('dirty data'!F2))</f>
        <v>NABIL0001234</v>
      </c>
      <c r="N2" t="str">
        <f>SUBSTITUTE(M2, " ", "")</f>
        <v>NABIL0001234</v>
      </c>
      <c r="O2" t="str">
        <f>SUBSTITUTE(LEFT(M2,5), "0","")</f>
        <v>NABIL</v>
      </c>
      <c r="P2" t="str">
        <f>RIGHT(N2, 5)</f>
        <v>01234</v>
      </c>
      <c r="Q2" t="str">
        <f>SUBSTITUTE('dirty data'!G2,"-","/")</f>
        <v>22/02/19</v>
      </c>
      <c r="R2" s="1" t="str">
        <f>IFERROR(IF(ISNUMBER(Q2),TEXT(Q2,"dd/mm/yyyy"),TEXT(Q2,"dd/mm/yyyy")),"Review")</f>
        <v>22/02/19</v>
      </c>
      <c r="T2" t="str">
        <f>TRIM(_xlfn.CONCAT('dirty data'!H2,'dirty data'!I2,'dirty data'!J2))</f>
        <v>NPR 123456.78</v>
      </c>
      <c r="U2" s="2">
        <f>VALUE(TEXT(SUBSTITUTE(SUBSTITUTE(T2,"NPR",""), " ",""),"$#,##,###.00"))</f>
        <v>123456.78</v>
      </c>
      <c r="V2" s="1"/>
    </row>
    <row r="3" spans="1:22" x14ac:dyDescent="0.55000000000000004">
      <c r="A3" t="s">
        <v>2</v>
      </c>
      <c r="B3" t="str">
        <f>PROPER(TRIM('dirty data'!B3))</f>
        <v>Sita Devi</v>
      </c>
      <c r="C3" t="str">
        <f>TRIM('dirty data'!C3)</f>
        <v>9876543210</v>
      </c>
      <c r="D3" t="str">
        <f t="shared" ref="D3:D26" si="0">SUBSTITUTE(SUBSTITUTE(SUBSTITUTE(C3, "-", ""), "AB", ""), "XY", "")</f>
        <v>9876543210</v>
      </c>
      <c r="E3" t="str">
        <f t="shared" ref="E3:E26" si="1">IF(AND(LEN(D3)=10,LEN(D3)&lt;=13), "Valid Account", "Review")</f>
        <v>Valid Account</v>
      </c>
      <c r="F3" t="str">
        <f t="shared" ref="F3:F26" si="2">LEFT(D3,6) &amp; REPT("X",LEN(D3)-6)</f>
        <v>987654XXXX</v>
      </c>
      <c r="G3" t="str">
        <f>TRIM('dirty data'!D3)</f>
        <v>+97798 7654321</v>
      </c>
      <c r="H3" t="str">
        <f t="shared" ref="H3:H26" si="3">CLEAN(SUBSTITUTE(SUBSTITUTE(SUBSTITUTE(SUBSTITUTE(G3, "+977", ""), "-",""), "977", "")," ","")) &amp; ""</f>
        <v>987654321</v>
      </c>
      <c r="I3">
        <f t="shared" ref="I3:I26" si="4">LEN(H3)</f>
        <v>9</v>
      </c>
      <c r="J3">
        <f t="shared" ref="J3:J26" si="5">VALUE(H3)</f>
        <v>987654321</v>
      </c>
      <c r="K3" t="str">
        <f t="shared" ref="K3:K26" si="6">IF(LEN(J3)=10, "Valid Number",  "review- Incomplete number")</f>
        <v>review- Incomplete number</v>
      </c>
      <c r="L3" t="str">
        <f>TRIM('dirty data'!E3)</f>
        <v>sita.devi@bank.np</v>
      </c>
      <c r="M3" t="str">
        <f>CLEAN(TRIM('dirty data'!F3))</f>
        <v>NABIL 001234</v>
      </c>
      <c r="N3" t="str">
        <f t="shared" ref="N3:N26" si="7">SUBSTITUTE(M3, " ", "")</f>
        <v>NABIL001234</v>
      </c>
      <c r="O3" t="str">
        <f t="shared" ref="O3:O26" si="8">SUBSTITUTE(LEFT(M3,5), "0","")</f>
        <v>NABIL</v>
      </c>
      <c r="P3" t="str">
        <f t="shared" ref="P3:P26" si="9">RIGHT(N3, 5)</f>
        <v>01234</v>
      </c>
      <c r="Q3" t="str">
        <f>SUBSTITUTE('dirty data'!G3,"-","/")</f>
        <v>31/10/18</v>
      </c>
      <c r="R3" s="1" t="str">
        <f t="shared" ref="R3:R26" si="10">IFERROR(IF(ISNUMBER(Q3),TEXT(Q3,"dd/mm/yyyy"),TEXT(Q3,"dd/mm/yyyy")),"Review")</f>
        <v>31/10/18</v>
      </c>
      <c r="T3" t="str">
        <f>TRIM(_xlfn.CONCAT('dirty data'!H3,'dirty data'!I3,'dirty data'!J3))</f>
        <v>NPR234567</v>
      </c>
      <c r="U3" s="2">
        <f t="shared" ref="U3:U26" si="11">VALUE(TEXT(SUBSTITUTE(SUBSTITUTE(T3,"NPR",""), " ",""),"$#,##,###.00"))</f>
        <v>234567</v>
      </c>
    </row>
    <row r="4" spans="1:22" x14ac:dyDescent="0.55000000000000004">
      <c r="A4" t="s">
        <v>3</v>
      </c>
      <c r="B4" t="str">
        <f>PROPER(TRIM('dirty data'!B4))</f>
        <v>Hari Prasad Khanal</v>
      </c>
      <c r="C4" t="str">
        <f>TRIM('dirty data'!C4)</f>
        <v>12-34567890</v>
      </c>
      <c r="D4" t="str">
        <f t="shared" si="0"/>
        <v>1234567890</v>
      </c>
      <c r="E4" t="str">
        <f t="shared" si="1"/>
        <v>Valid Account</v>
      </c>
      <c r="F4" t="str">
        <f t="shared" si="2"/>
        <v>123456XXXX</v>
      </c>
      <c r="G4" t="str">
        <f>TRIM('dirty data'!D4)</f>
        <v>+977 9841234567</v>
      </c>
      <c r="H4" t="str">
        <f t="shared" si="3"/>
        <v>9841234567</v>
      </c>
      <c r="I4">
        <f t="shared" si="4"/>
        <v>10</v>
      </c>
      <c r="J4">
        <f t="shared" si="5"/>
        <v>9841234567</v>
      </c>
      <c r="K4" t="str">
        <f t="shared" si="6"/>
        <v>Valid Number</v>
      </c>
      <c r="L4" t="str">
        <f>TRIM('dirty data'!E4)</f>
        <v>hari.prasad@gmail.com</v>
      </c>
      <c r="M4" t="str">
        <f>CLEAN(TRIM('dirty data'!F4))</f>
        <v>NBLB0005678</v>
      </c>
      <c r="N4" t="str">
        <f t="shared" si="7"/>
        <v>NBLB0005678</v>
      </c>
      <c r="O4" t="str">
        <f t="shared" si="8"/>
        <v>NBLB</v>
      </c>
      <c r="P4" t="str">
        <f t="shared" si="9"/>
        <v>05678</v>
      </c>
      <c r="Q4" t="str">
        <f>SUBSTITUTE('dirty data'!G4,"-","/")</f>
        <v>43135</v>
      </c>
      <c r="R4" s="1" t="str">
        <f t="shared" si="10"/>
        <v>04/02/2018</v>
      </c>
      <c r="T4" t="str">
        <f>TRIM(_xlfn.CONCAT('dirty data'!H4,'dirty data'!I4,'dirty data'!J4))</f>
        <v>45678.9</v>
      </c>
      <c r="U4" s="2">
        <f t="shared" si="11"/>
        <v>45678.9</v>
      </c>
    </row>
    <row r="5" spans="1:22" x14ac:dyDescent="0.55000000000000004">
      <c r="A5" t="s">
        <v>4</v>
      </c>
      <c r="B5" t="str">
        <f>PROPER(TRIM('dirty data'!B5))</f>
        <v>Gita Kumari</v>
      </c>
      <c r="C5" t="str">
        <f>TRIM('dirty data'!C5)</f>
        <v>9876543-210AB</v>
      </c>
      <c r="D5" t="str">
        <f t="shared" si="0"/>
        <v>9876543210</v>
      </c>
      <c r="E5" t="str">
        <f t="shared" si="1"/>
        <v>Valid Account</v>
      </c>
      <c r="F5" t="str">
        <f t="shared" si="2"/>
        <v>987654XXXX</v>
      </c>
      <c r="G5" t="str">
        <f>TRIM('dirty data'!D5)</f>
        <v>-9801233590</v>
      </c>
      <c r="H5" t="str">
        <f t="shared" si="3"/>
        <v>9801233590</v>
      </c>
      <c r="I5">
        <f t="shared" si="4"/>
        <v>10</v>
      </c>
      <c r="J5">
        <f t="shared" si="5"/>
        <v>9801233590</v>
      </c>
      <c r="K5" t="str">
        <f t="shared" si="6"/>
        <v>Valid Number</v>
      </c>
      <c r="L5" t="str">
        <f>TRIM('dirty data'!E5)</f>
        <v>gita@outlook.com</v>
      </c>
      <c r="M5" t="str">
        <f>CLEAN(TRIM('dirty data'!F5))</f>
        <v>NABIL0009876</v>
      </c>
      <c r="N5" t="str">
        <f t="shared" si="7"/>
        <v>NABIL0009876</v>
      </c>
      <c r="O5" t="str">
        <f t="shared" si="8"/>
        <v>NABIL</v>
      </c>
      <c r="P5" t="str">
        <f t="shared" si="9"/>
        <v>09876</v>
      </c>
      <c r="Q5" t="str">
        <f>SUBSTITUTE('dirty data'!G5,"-","/")</f>
        <v>43323</v>
      </c>
      <c r="R5" s="1" t="str">
        <f t="shared" si="10"/>
        <v>11/08/2018</v>
      </c>
      <c r="T5" t="str">
        <f>TRIM(_xlfn.CONCAT('dirty data'!H5,'dirty data'!I5,'dirty data'!J5))</f>
        <v>NPR 67890</v>
      </c>
      <c r="U5" s="2">
        <f t="shared" si="11"/>
        <v>67890</v>
      </c>
    </row>
    <row r="6" spans="1:22" x14ac:dyDescent="0.55000000000000004">
      <c r="A6" t="s">
        <v>5</v>
      </c>
      <c r="B6" t="str">
        <f>PROPER(TRIM('dirty data'!B6))</f>
        <v>Bikash Thapa</v>
      </c>
      <c r="C6" t="str">
        <f>TRIM('dirty data'!C6)</f>
        <v>12345678901</v>
      </c>
      <c r="D6" t="str">
        <f t="shared" si="0"/>
        <v>12345678901</v>
      </c>
      <c r="E6" t="str">
        <f t="shared" si="1"/>
        <v>Review</v>
      </c>
      <c r="F6" t="str">
        <f t="shared" si="2"/>
        <v>123456XXXXX</v>
      </c>
      <c r="G6" t="str">
        <f>TRIM('dirty data'!D6)</f>
        <v>+977 986543210</v>
      </c>
      <c r="H6" t="str">
        <f t="shared" si="3"/>
        <v>986543210</v>
      </c>
      <c r="I6">
        <f t="shared" si="4"/>
        <v>9</v>
      </c>
      <c r="J6">
        <f t="shared" si="5"/>
        <v>986543210</v>
      </c>
      <c r="K6" t="str">
        <f t="shared" si="6"/>
        <v>review- Incomplete number</v>
      </c>
      <c r="L6" t="str">
        <f>TRIM('dirty data'!E6)</f>
        <v>bikash.thapa@fintech.np</v>
      </c>
      <c r="M6" t="str">
        <f>CLEAN(TRIM('dirty data'!F6))</f>
        <v>PRAB0001234</v>
      </c>
      <c r="N6" t="str">
        <f t="shared" si="7"/>
        <v>PRAB0001234</v>
      </c>
      <c r="O6" t="str">
        <f t="shared" si="8"/>
        <v>PRAB</v>
      </c>
      <c r="P6" t="str">
        <f t="shared" si="9"/>
        <v>01234</v>
      </c>
      <c r="Q6" t="str">
        <f>SUBSTITUTE('dirty data'!G6,"-","/")</f>
        <v xml:space="preserve">19/07/18 </v>
      </c>
      <c r="R6" s="1" t="str">
        <f t="shared" si="10"/>
        <v xml:space="preserve">19/07/18 </v>
      </c>
      <c r="T6" t="str">
        <f>TRIM(_xlfn.CONCAT('dirty data'!H6,'dirty data'!I6,'dirty data'!J6))</f>
        <v>NPR 12345.67</v>
      </c>
      <c r="U6" s="2">
        <f t="shared" si="11"/>
        <v>12345.67</v>
      </c>
    </row>
    <row r="7" spans="1:22" x14ac:dyDescent="0.55000000000000004">
      <c r="A7" t="s">
        <v>6</v>
      </c>
      <c r="B7" t="str">
        <f>PROPER(TRIM('dirty data'!B7))</f>
        <v>Sushma Sharma</v>
      </c>
      <c r="C7" t="str">
        <f>TRIM('dirty data'!C7)</f>
        <v>987-654-3210</v>
      </c>
      <c r="D7" t="str">
        <f t="shared" si="0"/>
        <v>9876543210</v>
      </c>
      <c r="E7" t="str">
        <f t="shared" si="1"/>
        <v>Valid Account</v>
      </c>
      <c r="F7" t="str">
        <f t="shared" si="2"/>
        <v>987654XXXX</v>
      </c>
      <c r="G7" t="str">
        <f>TRIM('dirty data'!D7)</f>
        <v>9779854321098</v>
      </c>
      <c r="H7" t="str">
        <f t="shared" si="3"/>
        <v>9854321098</v>
      </c>
      <c r="I7">
        <f t="shared" si="4"/>
        <v>10</v>
      </c>
      <c r="J7">
        <f t="shared" si="5"/>
        <v>9854321098</v>
      </c>
      <c r="K7" t="str">
        <f t="shared" si="6"/>
        <v>Valid Number</v>
      </c>
      <c r="L7" t="str">
        <f>TRIM('dirty data'!E7)</f>
        <v>sushma.sharma@yahoo.com</v>
      </c>
      <c r="M7" t="str">
        <f>CLEAN(TRIM('dirty data'!F7))</f>
        <v>NIBL0004321</v>
      </c>
      <c r="N7" t="str">
        <f t="shared" si="7"/>
        <v>NIBL0004321</v>
      </c>
      <c r="O7" t="str">
        <f t="shared" si="8"/>
        <v>NIBL</v>
      </c>
      <c r="P7" t="str">
        <f t="shared" si="9"/>
        <v>04321</v>
      </c>
      <c r="Q7" t="str">
        <f>SUBSTITUTE('dirty data'!G7,"-","/")</f>
        <v>22/04/18</v>
      </c>
      <c r="R7" s="1" t="str">
        <f t="shared" si="10"/>
        <v>22/04/18</v>
      </c>
      <c r="T7" t="str">
        <f>TRIM(_xlfn.CONCAT('dirty data'!H7,'dirty data'!I7,'dirty data'!J7))</f>
        <v>98765</v>
      </c>
      <c r="U7" s="2">
        <f t="shared" si="11"/>
        <v>98765</v>
      </c>
    </row>
    <row r="8" spans="1:22" x14ac:dyDescent="0.55000000000000004">
      <c r="A8" t="s">
        <v>7</v>
      </c>
      <c r="B8" t="str">
        <f>PROPER(TRIM('dirty data'!B8))</f>
        <v>Krishna Bahadur</v>
      </c>
      <c r="C8" t="str">
        <f>TRIM('dirty data'!C8)</f>
        <v>1234567890</v>
      </c>
      <c r="D8" t="str">
        <f t="shared" si="0"/>
        <v>1234567890</v>
      </c>
      <c r="E8" t="str">
        <f t="shared" si="1"/>
        <v>Valid Account</v>
      </c>
      <c r="F8" t="str">
        <f t="shared" si="2"/>
        <v>123456XXXX</v>
      </c>
      <c r="G8" t="str">
        <f>TRIM('dirty data'!D8)</f>
        <v>+977 97-6543210</v>
      </c>
      <c r="H8" t="str">
        <f t="shared" si="3"/>
        <v>976543210</v>
      </c>
      <c r="I8">
        <f t="shared" si="4"/>
        <v>9</v>
      </c>
      <c r="J8">
        <f t="shared" si="5"/>
        <v>976543210</v>
      </c>
      <c r="K8" t="str">
        <f t="shared" si="6"/>
        <v>review- Incomplete number</v>
      </c>
      <c r="L8" t="str">
        <f>TRIM('dirty data'!E8)</f>
        <v>krishna.bdr@gmail.com</v>
      </c>
      <c r="M8" t="str">
        <f>CLEAN(TRIM('dirty data'!F8))</f>
        <v>NABIL 005678</v>
      </c>
      <c r="N8" t="str">
        <f t="shared" si="7"/>
        <v>NABIL005678</v>
      </c>
      <c r="O8" t="str">
        <f t="shared" si="8"/>
        <v>NABIL</v>
      </c>
      <c r="P8" t="str">
        <f t="shared" si="9"/>
        <v>05678</v>
      </c>
      <c r="Q8" t="str">
        <f>SUBSTITUTE('dirty data'!G8,"-","/")</f>
        <v>14/02/19</v>
      </c>
      <c r="R8" s="1" t="str">
        <f t="shared" si="10"/>
        <v>14/02/19</v>
      </c>
      <c r="T8" t="str">
        <f>TRIM(_xlfn.CONCAT('dirty data'!H8,'dirty data'!I8,'dirty data'!J8))</f>
        <v>NPR123456</v>
      </c>
      <c r="U8" s="2">
        <f t="shared" si="11"/>
        <v>123456</v>
      </c>
    </row>
    <row r="9" spans="1:22" x14ac:dyDescent="0.55000000000000004">
      <c r="A9" t="s">
        <v>8</v>
      </c>
      <c r="B9" t="str">
        <f>PROPER(TRIM('dirty data'!B9))</f>
        <v>Laxmi Devi</v>
      </c>
      <c r="C9" t="str">
        <f>TRIM('dirty data'!C9)</f>
        <v>9876543210-XY</v>
      </c>
      <c r="D9" t="str">
        <f t="shared" si="0"/>
        <v>9876543210</v>
      </c>
      <c r="E9" t="str">
        <f t="shared" si="1"/>
        <v>Valid Account</v>
      </c>
      <c r="F9" t="str">
        <f t="shared" si="2"/>
        <v>987654XXXX</v>
      </c>
      <c r="G9" t="str">
        <f>TRIM('dirty data'!D9)</f>
        <v>977984123456</v>
      </c>
      <c r="H9" t="str">
        <f t="shared" si="3"/>
        <v>984123456</v>
      </c>
      <c r="I9">
        <f t="shared" si="4"/>
        <v>9</v>
      </c>
      <c r="J9">
        <f t="shared" si="5"/>
        <v>984123456</v>
      </c>
      <c r="K9" t="str">
        <f t="shared" si="6"/>
        <v>review- Incomplete number</v>
      </c>
      <c r="L9" t="str">
        <f>TRIM('dirty data'!E9)</f>
        <v>laxmi.devi@bank.com</v>
      </c>
      <c r="M9" t="str">
        <f>CLEAN(TRIM('dirty data'!F9))</f>
        <v>PRAB0009876</v>
      </c>
      <c r="N9" t="str">
        <f t="shared" si="7"/>
        <v>PRAB0009876</v>
      </c>
      <c r="O9" t="str">
        <f t="shared" si="8"/>
        <v>PRAB</v>
      </c>
      <c r="P9" t="str">
        <f t="shared" si="9"/>
        <v>09876</v>
      </c>
      <c r="Q9" t="str">
        <f>SUBSTITUTE('dirty data'!G9,"-","/")</f>
        <v xml:space="preserve">21/09/19 </v>
      </c>
      <c r="R9" s="1" t="str">
        <f t="shared" si="10"/>
        <v xml:space="preserve">21/09/19 </v>
      </c>
      <c r="T9" t="str">
        <f>TRIM(_xlfn.CONCAT('dirty data'!H9,'dirty data'!I9,'dirty data'!J9))</f>
        <v>567890</v>
      </c>
      <c r="U9" s="2">
        <f t="shared" si="11"/>
        <v>567890</v>
      </c>
    </row>
    <row r="10" spans="1:22" x14ac:dyDescent="0.55000000000000004">
      <c r="A10" t="s">
        <v>9</v>
      </c>
      <c r="B10" t="str">
        <f>PROPER(TRIM('dirty data'!B10))</f>
        <v>Rajesh Kc</v>
      </c>
      <c r="C10" t="str">
        <f>TRIM('dirty data'!C10)</f>
        <v>12-3456789012</v>
      </c>
      <c r="D10" t="str">
        <f t="shared" si="0"/>
        <v>123456789012</v>
      </c>
      <c r="E10" t="str">
        <f t="shared" si="1"/>
        <v>Review</v>
      </c>
      <c r="F10" t="str">
        <f t="shared" si="2"/>
        <v>123456XXXXXX</v>
      </c>
      <c r="G10" t="str">
        <f>TRIM('dirty data'!D10)</f>
        <v>+977 9807654321</v>
      </c>
      <c r="H10" t="str">
        <f t="shared" si="3"/>
        <v>9807654321</v>
      </c>
      <c r="I10">
        <f t="shared" si="4"/>
        <v>10</v>
      </c>
      <c r="J10">
        <f t="shared" si="5"/>
        <v>9807654321</v>
      </c>
      <c r="K10" t="str">
        <f t="shared" si="6"/>
        <v>Valid Number</v>
      </c>
      <c r="L10" t="str">
        <f>TRIM('dirty data'!E10)</f>
        <v>rajesh.kc@fintech.np</v>
      </c>
      <c r="M10" t="str">
        <f>CLEAN(TRIM('dirty data'!F10))</f>
        <v>NBLB0001111</v>
      </c>
      <c r="N10" t="str">
        <f t="shared" si="7"/>
        <v>NBLB0001111</v>
      </c>
      <c r="O10" t="str">
        <f t="shared" si="8"/>
        <v>NBLB</v>
      </c>
      <c r="P10" t="str">
        <f t="shared" si="9"/>
        <v>01111</v>
      </c>
      <c r="Q10" t="str">
        <f>SUBSTITUTE('dirty data'!G10,"-","/")</f>
        <v>24/10/19</v>
      </c>
      <c r="R10" s="1" t="str">
        <f t="shared" si="10"/>
        <v>24/10/19</v>
      </c>
      <c r="T10" t="str">
        <f>TRIM(_xlfn.CONCAT('dirty data'!H10,'dirty data'!I10,'dirty data'!J10))</f>
        <v>NPR 23456</v>
      </c>
      <c r="U10" s="2">
        <f t="shared" si="11"/>
        <v>23456</v>
      </c>
    </row>
    <row r="11" spans="1:22" x14ac:dyDescent="0.55000000000000004">
      <c r="A11" t="s">
        <v>10</v>
      </c>
      <c r="B11" t="str">
        <f>PROPER(TRIM('dirty data'!B11))</f>
        <v>Anita Shrestha</v>
      </c>
      <c r="C11" t="str">
        <f>TRIM('dirty data'!C11)</f>
        <v>9876543210</v>
      </c>
      <c r="D11" t="str">
        <f t="shared" si="0"/>
        <v>9876543210</v>
      </c>
      <c r="E11" t="str">
        <f t="shared" si="1"/>
        <v>Valid Account</v>
      </c>
      <c r="F11" t="str">
        <f t="shared" si="2"/>
        <v>987654XXXX</v>
      </c>
      <c r="G11" t="str">
        <f>TRIM('dirty data'!D11)</f>
        <v>+977 98-7654 3210</v>
      </c>
      <c r="H11" t="str">
        <f t="shared" si="3"/>
        <v>9876543210</v>
      </c>
      <c r="I11">
        <f t="shared" si="4"/>
        <v>10</v>
      </c>
      <c r="J11">
        <f t="shared" si="5"/>
        <v>9876543210</v>
      </c>
      <c r="K11" t="str">
        <f t="shared" si="6"/>
        <v>Valid Number</v>
      </c>
      <c r="L11" t="str">
        <f>TRIM('dirty data'!E11)</f>
        <v>anita.shrestha@gmail.com</v>
      </c>
      <c r="M11" t="str">
        <f>CLEAN(TRIM('dirty data'!F11))</f>
        <v>NABIL0002222</v>
      </c>
      <c r="N11" t="str">
        <f t="shared" si="7"/>
        <v>NABIL0002222</v>
      </c>
      <c r="O11" t="str">
        <f t="shared" si="8"/>
        <v>NABIL</v>
      </c>
      <c r="P11" t="str">
        <f t="shared" si="9"/>
        <v>02222</v>
      </c>
      <c r="Q11" t="str">
        <f>SUBSTITUTE('dirty data'!G11,"-","/")</f>
        <v>26/02/20</v>
      </c>
      <c r="R11" s="1" t="str">
        <f t="shared" si="10"/>
        <v>26/02/20</v>
      </c>
      <c r="T11" t="str">
        <f>TRIM(_xlfn.CONCAT('dirty data'!H11,'dirty data'!I11,'dirty data'!J11))</f>
        <v>NPR 78901.23</v>
      </c>
      <c r="U11" s="2">
        <f t="shared" si="11"/>
        <v>78901.23</v>
      </c>
    </row>
    <row r="12" spans="1:22" x14ac:dyDescent="0.55000000000000004">
      <c r="A12" t="s">
        <v>11</v>
      </c>
      <c r="B12" t="str">
        <f>PROPER(TRIM('dirty data'!B12))</f>
        <v>Deepak Pandey</v>
      </c>
      <c r="C12" t="str">
        <f>TRIM('dirty data'!C12)</f>
        <v>1234-567890AB</v>
      </c>
      <c r="D12" t="str">
        <f t="shared" si="0"/>
        <v>1234567890</v>
      </c>
      <c r="E12" t="str">
        <f t="shared" si="1"/>
        <v>Valid Account</v>
      </c>
      <c r="F12" t="str">
        <f t="shared" si="2"/>
        <v>123456XXXX</v>
      </c>
      <c r="G12" t="str">
        <f>TRIM('dirty data'!D12)</f>
        <v>9779865432109</v>
      </c>
      <c r="H12" t="str">
        <f t="shared" si="3"/>
        <v>9865432109</v>
      </c>
      <c r="I12">
        <f t="shared" si="4"/>
        <v>10</v>
      </c>
      <c r="J12">
        <f t="shared" si="5"/>
        <v>9865432109</v>
      </c>
      <c r="K12" t="str">
        <f t="shared" si="6"/>
        <v>Valid Number</v>
      </c>
      <c r="L12" t="str">
        <f>TRIM('dirty data'!E12)</f>
        <v>deepak.pandey@bank.np</v>
      </c>
      <c r="M12" t="str">
        <f>CLEAN(TRIM('dirty data'!F12))</f>
        <v>PRAB0003333</v>
      </c>
      <c r="N12" t="str">
        <f t="shared" si="7"/>
        <v>PRAB0003333</v>
      </c>
      <c r="O12" t="str">
        <f t="shared" si="8"/>
        <v>PRAB</v>
      </c>
      <c r="P12" t="str">
        <f t="shared" si="9"/>
        <v>03333</v>
      </c>
      <c r="Q12" t="str">
        <f>SUBSTITUTE('dirty data'!G12,"-","/")</f>
        <v>43745</v>
      </c>
      <c r="R12" s="1" t="str">
        <f t="shared" si="10"/>
        <v>07/10/2019</v>
      </c>
      <c r="T12" t="str">
        <f>TRIM(_xlfn.CONCAT('dirty data'!H12,'dirty data'!I12,'dirty data'!J12))</f>
        <v>34567.89</v>
      </c>
      <c r="U12" s="2">
        <f t="shared" si="11"/>
        <v>34567.89</v>
      </c>
    </row>
    <row r="13" spans="1:22" x14ac:dyDescent="0.55000000000000004">
      <c r="A13" t="s">
        <v>12</v>
      </c>
      <c r="B13" t="str">
        <f>PROPER(TRIM('dirty data'!B13))</f>
        <v>Meena Gurung</v>
      </c>
      <c r="C13" t="str">
        <f>TRIM('dirty data'!C13)</f>
        <v>9876543210</v>
      </c>
      <c r="D13" t="str">
        <f t="shared" si="0"/>
        <v>9876543210</v>
      </c>
      <c r="E13" t="str">
        <f t="shared" si="1"/>
        <v>Valid Account</v>
      </c>
      <c r="F13" t="str">
        <f t="shared" si="2"/>
        <v>987654XXXX</v>
      </c>
      <c r="G13" t="str">
        <f>TRIM('dirty data'!D13)</f>
        <v>+977 97 654 3210</v>
      </c>
      <c r="H13" t="str">
        <f t="shared" si="3"/>
        <v>976543210</v>
      </c>
      <c r="I13">
        <f t="shared" si="4"/>
        <v>9</v>
      </c>
      <c r="J13">
        <f t="shared" si="5"/>
        <v>976543210</v>
      </c>
      <c r="K13" t="str">
        <f t="shared" si="6"/>
        <v>review- Incomplete number</v>
      </c>
      <c r="L13" t="str">
        <f>TRIM('dirty data'!E13)</f>
        <v>meena.gurung@yahoo.com</v>
      </c>
      <c r="M13" t="str">
        <f>CLEAN(TRIM('dirty data'!F13))</f>
        <v>NIBL0004444</v>
      </c>
      <c r="N13" t="str">
        <f t="shared" si="7"/>
        <v>NIBL0004444</v>
      </c>
      <c r="O13" t="str">
        <f t="shared" si="8"/>
        <v>NIBL</v>
      </c>
      <c r="P13" t="str">
        <f t="shared" si="9"/>
        <v>04444</v>
      </c>
      <c r="Q13" t="str">
        <f>SUBSTITUTE('dirty data'!G13,"-","/")</f>
        <v xml:space="preserve">22/02/19 </v>
      </c>
      <c r="R13" s="1" t="str">
        <f t="shared" si="10"/>
        <v xml:space="preserve">22/02/19 </v>
      </c>
      <c r="T13" t="str">
        <f>TRIM(_xlfn.CONCAT('dirty data'!H13,'dirty data'!I13,'dirty data'!J13))</f>
        <v>NPR 111222</v>
      </c>
      <c r="U13" s="2">
        <f t="shared" si="11"/>
        <v>111222</v>
      </c>
    </row>
    <row r="14" spans="1:22" x14ac:dyDescent="0.55000000000000004">
      <c r="A14" t="s">
        <v>13</v>
      </c>
      <c r="B14" t="str">
        <f>PROPER(TRIM('dirty data'!B14))</f>
        <v>Suman Thapa</v>
      </c>
      <c r="C14" t="str">
        <f>TRIM('dirty data'!C14)</f>
        <v>12-34567890</v>
      </c>
      <c r="D14" t="str">
        <f t="shared" si="0"/>
        <v>1234567890</v>
      </c>
      <c r="E14" t="str">
        <f t="shared" si="1"/>
        <v>Valid Account</v>
      </c>
      <c r="F14" t="str">
        <f t="shared" si="2"/>
        <v>123456XXXX</v>
      </c>
      <c r="G14" t="str">
        <f>TRIM('dirty data'!D14)</f>
        <v>9779841234567</v>
      </c>
      <c r="H14" t="str">
        <f t="shared" si="3"/>
        <v>9841234567</v>
      </c>
      <c r="I14">
        <f t="shared" si="4"/>
        <v>10</v>
      </c>
      <c r="J14">
        <f t="shared" si="5"/>
        <v>9841234567</v>
      </c>
      <c r="K14" t="str">
        <f t="shared" si="6"/>
        <v>Valid Number</v>
      </c>
      <c r="L14" t="str">
        <f>TRIM('dirty data'!E14)</f>
        <v>suman.thapa@fintech.np</v>
      </c>
      <c r="M14" t="str">
        <f>CLEAN(TRIM('dirty data'!F14))</f>
        <v>NABIL0005555</v>
      </c>
      <c r="N14" t="str">
        <f t="shared" si="7"/>
        <v>NABIL0005555</v>
      </c>
      <c r="O14" t="str">
        <f t="shared" si="8"/>
        <v>NABIL</v>
      </c>
      <c r="P14" t="str">
        <f t="shared" si="9"/>
        <v>05555</v>
      </c>
      <c r="Q14" t="str">
        <f>SUBSTITUTE('dirty data'!G14,"-","/")</f>
        <v>31/10/18</v>
      </c>
      <c r="R14" s="1" t="str">
        <f t="shared" si="10"/>
        <v>31/10/18</v>
      </c>
      <c r="T14" t="str">
        <f>TRIM(_xlfn.CONCAT('dirty data'!H14,'dirty data'!I14,'dirty data'!J14))</f>
        <v>56789</v>
      </c>
      <c r="U14" s="2">
        <f t="shared" si="11"/>
        <v>56789</v>
      </c>
    </row>
    <row r="15" spans="1:22" x14ac:dyDescent="0.55000000000000004">
      <c r="A15" t="s">
        <v>14</v>
      </c>
      <c r="B15" t="str">
        <f>PROPER(TRIM('dirty data'!B15))</f>
        <v>Priya Sharma</v>
      </c>
      <c r="C15" t="str">
        <f>TRIM('dirty data'!C15)</f>
        <v>9876543210AB</v>
      </c>
      <c r="D15" t="str">
        <f t="shared" si="0"/>
        <v>9876543210</v>
      </c>
      <c r="E15" t="str">
        <f t="shared" si="1"/>
        <v>Valid Account</v>
      </c>
      <c r="F15" t="str">
        <f t="shared" si="2"/>
        <v>987654XXXX</v>
      </c>
      <c r="G15" t="str">
        <f>TRIM('dirty data'!D15)</f>
        <v>+977 98-76543210</v>
      </c>
      <c r="H15" t="str">
        <f t="shared" si="3"/>
        <v>9876543210</v>
      </c>
      <c r="I15">
        <f t="shared" si="4"/>
        <v>10</v>
      </c>
      <c r="J15">
        <f t="shared" si="5"/>
        <v>9876543210</v>
      </c>
      <c r="K15" t="str">
        <f t="shared" si="6"/>
        <v>Valid Number</v>
      </c>
      <c r="L15" t="str">
        <f>TRIM('dirty data'!E15)</f>
        <v>priya.sharma@gmail.com</v>
      </c>
      <c r="M15" t="str">
        <f>CLEAN(TRIM('dirty data'!F15))</f>
        <v>PRAB0006666</v>
      </c>
      <c r="N15" t="str">
        <f t="shared" si="7"/>
        <v>PRAB0006666</v>
      </c>
      <c r="O15" t="str">
        <f t="shared" si="8"/>
        <v>PRAB</v>
      </c>
      <c r="P15" t="str">
        <f t="shared" si="9"/>
        <v>06666</v>
      </c>
      <c r="Q15" t="str">
        <f>SUBSTITUTE('dirty data'!G15,"-","/")</f>
        <v>43135</v>
      </c>
      <c r="R15" s="1" t="str">
        <f t="shared" si="10"/>
        <v>04/02/2018</v>
      </c>
      <c r="T15" t="str">
        <f>TRIM(_xlfn.CONCAT('dirty data'!H15,'dirty data'!I15,'dirty data'!J15))</f>
        <v>NPR 90123.45</v>
      </c>
      <c r="U15" s="2">
        <f t="shared" si="11"/>
        <v>90123.45</v>
      </c>
    </row>
    <row r="16" spans="1:22" x14ac:dyDescent="0.55000000000000004">
      <c r="A16" t="s">
        <v>15</v>
      </c>
      <c r="B16" t="str">
        <f>PROPER(TRIM('dirty data'!B16))</f>
        <v>Ramesh Kc</v>
      </c>
      <c r="C16" t="str">
        <f>TRIM('dirty data'!C16)</f>
        <v>1234567890</v>
      </c>
      <c r="D16" t="str">
        <f t="shared" si="0"/>
        <v>1234567890</v>
      </c>
      <c r="E16" t="str">
        <f t="shared" si="1"/>
        <v>Valid Account</v>
      </c>
      <c r="F16" t="str">
        <f t="shared" si="2"/>
        <v>123456XXXX</v>
      </c>
      <c r="G16" t="str">
        <f>TRIM('dirty data'!D16)</f>
        <v>+977 986543210</v>
      </c>
      <c r="H16" t="str">
        <f t="shared" si="3"/>
        <v>986543210</v>
      </c>
      <c r="I16">
        <f t="shared" si="4"/>
        <v>9</v>
      </c>
      <c r="J16">
        <f t="shared" si="5"/>
        <v>986543210</v>
      </c>
      <c r="K16" t="str">
        <f t="shared" si="6"/>
        <v>review- Incomplete number</v>
      </c>
      <c r="L16" t="str">
        <f>TRIM('dirty data'!E16)</f>
        <v>ramesh.kc@bank.np</v>
      </c>
      <c r="M16" t="str">
        <f>CLEAN(TRIM('dirty data'!F16))</f>
        <v>NBLB0007777</v>
      </c>
      <c r="N16" t="str">
        <f t="shared" si="7"/>
        <v>NBLB0007777</v>
      </c>
      <c r="O16" t="str">
        <f t="shared" si="8"/>
        <v>NBLB</v>
      </c>
      <c r="P16" t="str">
        <f t="shared" si="9"/>
        <v>07777</v>
      </c>
      <c r="Q16" t="str">
        <f>SUBSTITUTE('dirty data'!G16,"-","/")</f>
        <v>43323</v>
      </c>
      <c r="R16" s="1" t="str">
        <f t="shared" si="10"/>
        <v>11/08/2018</v>
      </c>
      <c r="T16" t="str">
        <f>TRIM(_xlfn.CONCAT('dirty data'!H16,'dirty data'!I16,'dirty data'!J16))</f>
        <v>12345</v>
      </c>
      <c r="U16" s="2">
        <f t="shared" si="11"/>
        <v>12345</v>
      </c>
    </row>
    <row r="17" spans="1:21" x14ac:dyDescent="0.55000000000000004">
      <c r="A17" t="s">
        <v>16</v>
      </c>
      <c r="B17" t="str">
        <f>PROPER(TRIM('dirty data'!B17))</f>
        <v>Sunita Devi</v>
      </c>
      <c r="C17" t="str">
        <f>TRIM('dirty data'!C17)</f>
        <v>987-654-3210</v>
      </c>
      <c r="D17" t="str">
        <f t="shared" si="0"/>
        <v>9876543210</v>
      </c>
      <c r="E17" t="str">
        <f t="shared" si="1"/>
        <v>Valid Account</v>
      </c>
      <c r="F17" t="str">
        <f t="shared" si="2"/>
        <v>987654XXXX</v>
      </c>
      <c r="G17" t="str">
        <f>TRIM('dirty data'!D17)</f>
        <v>9779854321098</v>
      </c>
      <c r="H17" t="str">
        <f t="shared" si="3"/>
        <v>9854321098</v>
      </c>
      <c r="I17">
        <f t="shared" si="4"/>
        <v>10</v>
      </c>
      <c r="J17">
        <f t="shared" si="5"/>
        <v>9854321098</v>
      </c>
      <c r="K17" t="str">
        <f t="shared" si="6"/>
        <v>Valid Number</v>
      </c>
      <c r="L17" t="str">
        <f>TRIM('dirty data'!E17)</f>
        <v>sunita.devi@outlook.com</v>
      </c>
      <c r="M17" t="str">
        <f>CLEAN(TRIM('dirty data'!F17))</f>
        <v>NABIL0008888</v>
      </c>
      <c r="N17" t="str">
        <f t="shared" si="7"/>
        <v>NABIL0008888</v>
      </c>
      <c r="O17" t="str">
        <f t="shared" si="8"/>
        <v>NABIL</v>
      </c>
      <c r="P17" t="str">
        <f t="shared" si="9"/>
        <v>08888</v>
      </c>
      <c r="Q17" t="str">
        <f>SUBSTITUTE('dirty data'!G17,"-","/")</f>
        <v>19/07/18</v>
      </c>
      <c r="R17" s="1" t="str">
        <f t="shared" si="10"/>
        <v>19/07/18</v>
      </c>
      <c r="T17" t="str">
        <f>TRIM(_xlfn.CONCAT('dirty data'!H17,'dirty data'!I17,'dirty data'!J17))</f>
        <v>NPR 67890.12</v>
      </c>
      <c r="U17" s="2">
        <f t="shared" si="11"/>
        <v>67890.12</v>
      </c>
    </row>
    <row r="18" spans="1:21" x14ac:dyDescent="0.55000000000000004">
      <c r="A18" t="s">
        <v>17</v>
      </c>
      <c r="B18" t="str">
        <f>PROPER(TRIM('dirty data'!B18))</f>
        <v>Anil Bahadur</v>
      </c>
      <c r="C18" t="str">
        <f>TRIM('dirty data'!C18)</f>
        <v>12345678901</v>
      </c>
      <c r="D18" t="str">
        <f t="shared" si="0"/>
        <v>12345678901</v>
      </c>
      <c r="E18" t="str">
        <f t="shared" si="1"/>
        <v>Review</v>
      </c>
      <c r="F18" t="str">
        <f t="shared" si="2"/>
        <v>123456XXXXX</v>
      </c>
      <c r="G18" t="str">
        <f>TRIM('dirty data'!D18)</f>
        <v>+977 97-6543210</v>
      </c>
      <c r="H18" t="str">
        <f t="shared" si="3"/>
        <v>976543210</v>
      </c>
      <c r="I18">
        <f t="shared" si="4"/>
        <v>9</v>
      </c>
      <c r="J18">
        <f t="shared" si="5"/>
        <v>976543210</v>
      </c>
      <c r="K18" t="str">
        <f t="shared" si="6"/>
        <v>review- Incomplete number</v>
      </c>
      <c r="L18" t="str">
        <f>TRIM('dirty data'!E18)</f>
        <v>anil.bdr@gmail.com</v>
      </c>
      <c r="M18" t="str">
        <f>CLEAN(TRIM('dirty data'!F18))</f>
        <v>PRAB0009999</v>
      </c>
      <c r="N18" t="str">
        <f t="shared" si="7"/>
        <v>PRAB0009999</v>
      </c>
      <c r="O18" t="str">
        <f t="shared" si="8"/>
        <v>PRAB</v>
      </c>
      <c r="P18" t="str">
        <f t="shared" si="9"/>
        <v>09999</v>
      </c>
      <c r="Q18" t="str">
        <f>SUBSTITUTE('dirty data'!G18,"-","/")</f>
        <v xml:space="preserve">22/04/18 </v>
      </c>
      <c r="R18" s="1" t="str">
        <f t="shared" si="10"/>
        <v xml:space="preserve">22/04/18 </v>
      </c>
      <c r="T18" t="str">
        <f>TRIM(_xlfn.CONCAT('dirty data'!H18,'dirty data'!I18,'dirty data'!J18))</f>
        <v>45678.9</v>
      </c>
      <c r="U18" s="2">
        <f t="shared" si="11"/>
        <v>45678.9</v>
      </c>
    </row>
    <row r="19" spans="1:21" x14ac:dyDescent="0.55000000000000004">
      <c r="A19" t="s">
        <v>18</v>
      </c>
      <c r="B19" t="str">
        <f>PROPER(TRIM('dirty data'!B19))</f>
        <v>Pooja Shrestha</v>
      </c>
      <c r="C19" t="str">
        <f>TRIM('dirty data'!C19)</f>
        <v>9876543210</v>
      </c>
      <c r="D19" t="str">
        <f t="shared" si="0"/>
        <v>9876543210</v>
      </c>
      <c r="E19" t="str">
        <f t="shared" si="1"/>
        <v>Valid Account</v>
      </c>
      <c r="F19" t="str">
        <f t="shared" si="2"/>
        <v>987654XXXX</v>
      </c>
      <c r="G19" t="str">
        <f>TRIM('dirty data'!D19)</f>
        <v>+977 98 7654 3210</v>
      </c>
      <c r="H19" t="str">
        <f t="shared" si="3"/>
        <v>9876543210</v>
      </c>
      <c r="I19">
        <f t="shared" si="4"/>
        <v>10</v>
      </c>
      <c r="J19">
        <f t="shared" si="5"/>
        <v>9876543210</v>
      </c>
      <c r="K19" t="str">
        <f t="shared" si="6"/>
        <v>Valid Number</v>
      </c>
      <c r="L19" t="str">
        <f>TRIM('dirty data'!E19)</f>
        <v>pooja.shrestha@fintech.np</v>
      </c>
      <c r="M19" t="str">
        <f>CLEAN(TRIM('dirty data'!F19))</f>
        <v>NIBL0000001</v>
      </c>
      <c r="N19" t="str">
        <f t="shared" si="7"/>
        <v>NIBL0000001</v>
      </c>
      <c r="O19" t="str">
        <f t="shared" si="8"/>
        <v>NIBL</v>
      </c>
      <c r="P19" t="str">
        <f t="shared" si="9"/>
        <v>00001</v>
      </c>
      <c r="Q19" t="str">
        <f>SUBSTITUTE('dirty data'!G19,"-","/")</f>
        <v>14/02/19</v>
      </c>
      <c r="R19" s="1" t="str">
        <f t="shared" si="10"/>
        <v>14/02/19</v>
      </c>
      <c r="T19" t="str">
        <f>TRIM(_xlfn.CONCAT('dirty data'!H19,'dirty data'!I19,'dirty data'!J19))</f>
        <v>NPR 23456.78</v>
      </c>
      <c r="U19" s="2">
        <f t="shared" si="11"/>
        <v>23456.78</v>
      </c>
    </row>
    <row r="20" spans="1:21" x14ac:dyDescent="0.55000000000000004">
      <c r="A20" t="s">
        <v>19</v>
      </c>
      <c r="B20" t="str">
        <f>PROPER(TRIM('dirty data'!B20))</f>
        <v>Mohan Pandey</v>
      </c>
      <c r="C20" t="str">
        <f>TRIM('dirty data'!C20)</f>
        <v>12-34567890</v>
      </c>
      <c r="D20" t="str">
        <f t="shared" si="0"/>
        <v>1234567890</v>
      </c>
      <c r="E20" t="str">
        <f t="shared" si="1"/>
        <v>Valid Account</v>
      </c>
      <c r="F20" t="str">
        <f t="shared" si="2"/>
        <v>123456XXXX</v>
      </c>
      <c r="G20" t="str">
        <f>TRIM('dirty data'!D20)</f>
        <v>977984123456</v>
      </c>
      <c r="H20" t="str">
        <f t="shared" si="3"/>
        <v>984123456</v>
      </c>
      <c r="I20">
        <f t="shared" si="4"/>
        <v>9</v>
      </c>
      <c r="J20">
        <f t="shared" si="5"/>
        <v>984123456</v>
      </c>
      <c r="K20" t="str">
        <f t="shared" si="6"/>
        <v>review- Incomplete number</v>
      </c>
      <c r="L20" t="str">
        <f>TRIM('dirty data'!E20)</f>
        <v>mohan.pandey@yahoo.com</v>
      </c>
      <c r="M20" t="str">
        <f>CLEAN(TRIM('dirty data'!F20))</f>
        <v>NABIL0001112</v>
      </c>
      <c r="N20" t="str">
        <f t="shared" si="7"/>
        <v>NABIL0001112</v>
      </c>
      <c r="O20" t="str">
        <f t="shared" si="8"/>
        <v>NABIL</v>
      </c>
      <c r="P20" t="str">
        <f t="shared" si="9"/>
        <v>01112</v>
      </c>
      <c r="Q20" t="str">
        <f>SUBSTITUTE('dirty data'!G20,"-","/")</f>
        <v xml:space="preserve">21/09/19 </v>
      </c>
      <c r="R20" s="1" t="str">
        <f t="shared" si="10"/>
        <v xml:space="preserve">21/09/19 </v>
      </c>
      <c r="T20" t="str">
        <f>TRIM(_xlfn.CONCAT('dirty data'!H20,'dirty data'!I20,'dirty data'!J20))</f>
        <v>78901</v>
      </c>
      <c r="U20" s="2">
        <f t="shared" si="11"/>
        <v>78901</v>
      </c>
    </row>
    <row r="21" spans="1:21" x14ac:dyDescent="0.55000000000000004">
      <c r="A21" t="s">
        <v>20</v>
      </c>
      <c r="B21" t="str">
        <f>PROPER(TRIM('dirty data'!B21))</f>
        <v>Rekha Gurung</v>
      </c>
      <c r="C21" t="str">
        <f>TRIM('dirty data'!C21)</f>
        <v>9876543210-XY</v>
      </c>
      <c r="D21" t="str">
        <f t="shared" si="0"/>
        <v>9876543210</v>
      </c>
      <c r="E21" t="str">
        <f t="shared" si="1"/>
        <v>Valid Account</v>
      </c>
      <c r="F21" t="str">
        <f t="shared" si="2"/>
        <v>987654XXXX</v>
      </c>
      <c r="G21" t="str">
        <f>TRIM('dirty data'!D21)</f>
        <v>+977 9865432109</v>
      </c>
      <c r="H21" t="str">
        <f t="shared" si="3"/>
        <v>9865432109</v>
      </c>
      <c r="I21">
        <f t="shared" si="4"/>
        <v>10</v>
      </c>
      <c r="J21">
        <f t="shared" si="5"/>
        <v>9865432109</v>
      </c>
      <c r="K21" t="str">
        <f t="shared" si="6"/>
        <v>Valid Number</v>
      </c>
      <c r="L21" t="str">
        <f>TRIM('dirty data'!E21)</f>
        <v>rekha.gurung@bank.np</v>
      </c>
      <c r="M21" t="str">
        <f>CLEAN(TRIM('dirty data'!F21))</f>
        <v>PRAB0002223</v>
      </c>
      <c r="N21" t="str">
        <f t="shared" si="7"/>
        <v>PRAB0002223</v>
      </c>
      <c r="O21" t="str">
        <f t="shared" si="8"/>
        <v>PRAB</v>
      </c>
      <c r="P21" t="str">
        <f t="shared" si="9"/>
        <v>02223</v>
      </c>
      <c r="Q21" t="str">
        <f>SUBSTITUTE('dirty data'!G21,"-","/")</f>
        <v xml:space="preserve">24/10/19 </v>
      </c>
      <c r="R21" s="1" t="str">
        <f t="shared" si="10"/>
        <v xml:space="preserve">24/10/19 </v>
      </c>
      <c r="T21" t="str">
        <f>TRIM(_xlfn.CONCAT('dirty data'!H21,'dirty data'!I21,'dirty data'!J21))</f>
        <v>NPR 123456</v>
      </c>
      <c r="U21" s="2">
        <f t="shared" si="11"/>
        <v>123456</v>
      </c>
    </row>
    <row r="22" spans="1:21" x14ac:dyDescent="0.55000000000000004">
      <c r="A22" t="s">
        <v>21</v>
      </c>
      <c r="B22" t="str">
        <f>PROPER(TRIM('dirty data'!B22))</f>
        <v>Bijay Thapa</v>
      </c>
      <c r="C22" t="str">
        <f>TRIM('dirty data'!C22)</f>
        <v>1234567890</v>
      </c>
      <c r="D22" t="str">
        <f t="shared" si="0"/>
        <v>1234567890</v>
      </c>
      <c r="E22" t="str">
        <f t="shared" si="1"/>
        <v>Valid Account</v>
      </c>
      <c r="F22" t="str">
        <f t="shared" si="2"/>
        <v>123456XXXX</v>
      </c>
      <c r="G22" t="str">
        <f>TRIM('dirty data'!D22)</f>
        <v>+977 97 654 3210</v>
      </c>
      <c r="H22" t="str">
        <f t="shared" si="3"/>
        <v>976543210</v>
      </c>
      <c r="I22">
        <f t="shared" si="4"/>
        <v>9</v>
      </c>
      <c r="J22">
        <f t="shared" si="5"/>
        <v>976543210</v>
      </c>
      <c r="K22" t="str">
        <f t="shared" si="6"/>
        <v>review- Incomplete number</v>
      </c>
      <c r="L22" t="str">
        <f>TRIM('dirty data'!E22)</f>
        <v>bijay.thapa@gmail.com</v>
      </c>
      <c r="M22" t="str">
        <f>CLEAN(TRIM('dirty data'!F22))</f>
        <v>NBLB0003334</v>
      </c>
      <c r="N22" t="str">
        <f t="shared" si="7"/>
        <v>NBLB0003334</v>
      </c>
      <c r="O22" t="str">
        <f t="shared" si="8"/>
        <v>NBLB</v>
      </c>
      <c r="P22" t="str">
        <f t="shared" si="9"/>
        <v>03334</v>
      </c>
      <c r="Q22" t="str">
        <f>SUBSTITUTE('dirty data'!G22,"-","/")</f>
        <v>26/02/20</v>
      </c>
      <c r="R22" s="1" t="str">
        <f t="shared" si="10"/>
        <v>26/02/20</v>
      </c>
      <c r="T22" t="str">
        <f>TRIM(_xlfn.CONCAT('dirty data'!H22,'dirty data'!I22,'dirty data'!J22))</f>
        <v>56789</v>
      </c>
      <c r="U22" s="2">
        <f t="shared" si="11"/>
        <v>56789</v>
      </c>
    </row>
    <row r="23" spans="1:21" x14ac:dyDescent="0.55000000000000004">
      <c r="A23" t="s">
        <v>22</v>
      </c>
      <c r="B23" t="str">
        <f>PROPER(TRIM('dirty data'!B23))</f>
        <v>Sarita Kc</v>
      </c>
      <c r="C23" t="str">
        <f>TRIM('dirty data'!C23)</f>
        <v>9876543-210</v>
      </c>
      <c r="D23" t="str">
        <f t="shared" si="0"/>
        <v>9876543210</v>
      </c>
      <c r="E23" t="str">
        <f t="shared" si="1"/>
        <v>Valid Account</v>
      </c>
      <c r="F23" t="str">
        <f t="shared" si="2"/>
        <v>987654XXXX</v>
      </c>
      <c r="G23" t="str">
        <f>TRIM('dirty data'!D23)</f>
        <v>9779807654321</v>
      </c>
      <c r="H23" t="str">
        <f t="shared" si="3"/>
        <v>9807654321</v>
      </c>
      <c r="I23">
        <f t="shared" si="4"/>
        <v>10</v>
      </c>
      <c r="J23">
        <f t="shared" si="5"/>
        <v>9807654321</v>
      </c>
      <c r="K23" t="str">
        <f t="shared" si="6"/>
        <v>Valid Number</v>
      </c>
      <c r="L23" t="str">
        <f>TRIM('dirty data'!E23)</f>
        <v>sarita.kc@fintech.np</v>
      </c>
      <c r="M23" t="str">
        <f>CLEAN(TRIM('dirty data'!F23))</f>
        <v>NABIL0004445</v>
      </c>
      <c r="N23" t="str">
        <f t="shared" si="7"/>
        <v>NABIL0004445</v>
      </c>
      <c r="O23" t="str">
        <f t="shared" si="8"/>
        <v>NABIL</v>
      </c>
      <c r="P23" t="str">
        <f t="shared" si="9"/>
        <v>04445</v>
      </c>
      <c r="Q23" t="str">
        <f>SUBSTITUTE('dirty data'!G23,"-","/")</f>
        <v>43745</v>
      </c>
      <c r="R23" s="1" t="str">
        <f t="shared" si="10"/>
        <v>07/10/2019</v>
      </c>
      <c r="T23" t="str">
        <f>TRIM(_xlfn.CONCAT('dirty data'!H23,'dirty data'!I23,'dirty data'!J23))</f>
        <v>NPR 90123</v>
      </c>
      <c r="U23" s="2">
        <f t="shared" si="11"/>
        <v>90123</v>
      </c>
    </row>
    <row r="24" spans="1:21" x14ac:dyDescent="0.55000000000000004">
      <c r="A24" t="s">
        <v>23</v>
      </c>
      <c r="B24" t="str">
        <f>PROPER(TRIM('dirty data'!B24))</f>
        <v>Dinesh Sharma</v>
      </c>
      <c r="C24" t="str">
        <f>TRIM('dirty data'!C24)</f>
        <v>1234-567890AB</v>
      </c>
      <c r="D24" t="str">
        <f t="shared" si="0"/>
        <v>1234567890</v>
      </c>
      <c r="E24" t="str">
        <f t="shared" si="1"/>
        <v>Valid Account</v>
      </c>
      <c r="F24" t="str">
        <f t="shared" si="2"/>
        <v>123456XXXX</v>
      </c>
      <c r="G24" t="str">
        <f>TRIM('dirty data'!D24)</f>
        <v>+977 98-76543210</v>
      </c>
      <c r="H24" t="str">
        <f t="shared" si="3"/>
        <v>9876543210</v>
      </c>
      <c r="I24">
        <f t="shared" si="4"/>
        <v>10</v>
      </c>
      <c r="J24">
        <f t="shared" si="5"/>
        <v>9876543210</v>
      </c>
      <c r="K24" t="str">
        <f t="shared" si="6"/>
        <v>Valid Number</v>
      </c>
      <c r="L24" t="str">
        <f>TRIM('dirty data'!E24)</f>
        <v>dinesh.sharma@bank.np</v>
      </c>
      <c r="M24" t="str">
        <f>CLEAN(TRIM('dirty data'!F24))</f>
        <v>PRAB0005556</v>
      </c>
      <c r="N24" t="str">
        <f t="shared" si="7"/>
        <v>PRAB0005556</v>
      </c>
      <c r="O24" t="str">
        <f t="shared" si="8"/>
        <v>PRAB</v>
      </c>
      <c r="P24" t="str">
        <f t="shared" si="9"/>
        <v>05556</v>
      </c>
      <c r="Q24" t="str">
        <f>SUBSTITUTE('dirty data'!G24,"-","/")</f>
        <v xml:space="preserve">22/02/19 </v>
      </c>
      <c r="R24" s="1" t="str">
        <f t="shared" si="10"/>
        <v xml:space="preserve">22/02/19 </v>
      </c>
      <c r="T24" t="str">
        <f>TRIM(_xlfn.CONCAT('dirty data'!H24,'dirty data'!I24,'dirty data'!J24))</f>
        <v>12345.67</v>
      </c>
      <c r="U24" s="2">
        <f t="shared" si="11"/>
        <v>12345.67</v>
      </c>
    </row>
    <row r="25" spans="1:21" x14ac:dyDescent="0.55000000000000004">
      <c r="A25" t="s">
        <v>24</v>
      </c>
      <c r="B25" t="str">
        <f>PROPER(TRIM('dirty data'!B25))</f>
        <v>Kabita Devi</v>
      </c>
      <c r="C25" t="str">
        <f>TRIM('dirty data'!C25)</f>
        <v>9876543210</v>
      </c>
      <c r="D25" t="str">
        <f t="shared" si="0"/>
        <v>9876543210</v>
      </c>
      <c r="E25" t="str">
        <f t="shared" si="1"/>
        <v>Valid Account</v>
      </c>
      <c r="F25" t="str">
        <f t="shared" si="2"/>
        <v>987654XXXX</v>
      </c>
      <c r="G25" t="str">
        <f>TRIM('dirty data'!D25)</f>
        <v>+977 986543210</v>
      </c>
      <c r="H25" t="str">
        <f t="shared" si="3"/>
        <v>986543210</v>
      </c>
      <c r="I25">
        <f t="shared" si="4"/>
        <v>9</v>
      </c>
      <c r="J25">
        <f t="shared" si="5"/>
        <v>986543210</v>
      </c>
      <c r="K25" t="str">
        <f t="shared" si="6"/>
        <v>review- Incomplete number</v>
      </c>
      <c r="L25" t="str">
        <f>TRIM('dirty data'!E25)</f>
        <v>kabita.devi@gmail.com</v>
      </c>
      <c r="M25" t="str">
        <f>CLEAN(TRIM('dirty data'!F25))</f>
        <v>NIBL0006667</v>
      </c>
      <c r="N25" t="str">
        <f t="shared" si="7"/>
        <v>NIBL0006667</v>
      </c>
      <c r="O25" t="str">
        <f t="shared" si="8"/>
        <v>NIBL</v>
      </c>
      <c r="P25" t="str">
        <f t="shared" si="9"/>
        <v>06667</v>
      </c>
      <c r="Q25" t="str">
        <f>SUBSTITUTE('dirty data'!G25,"-","/")</f>
        <v>31/10/18</v>
      </c>
      <c r="R25" s="1" t="str">
        <f t="shared" si="10"/>
        <v>31/10/18</v>
      </c>
      <c r="T25" t="str">
        <f>TRIM(_xlfn.CONCAT('dirty data'!H25,'dirty data'!I25,'dirty data'!J25))</f>
        <v>NPR 67890</v>
      </c>
      <c r="U25" s="2">
        <f t="shared" si="11"/>
        <v>67890</v>
      </c>
    </row>
    <row r="26" spans="1:21" x14ac:dyDescent="0.55000000000000004">
      <c r="A26" t="s">
        <v>25</v>
      </c>
      <c r="B26" t="str">
        <f>PROPER(TRIM('dirty data'!B26))</f>
        <v>Govinda Bahadur</v>
      </c>
      <c r="C26" t="str">
        <f>TRIM('dirty data'!C26)</f>
        <v>12-3456789012</v>
      </c>
      <c r="D26" t="str">
        <f t="shared" si="0"/>
        <v>123456789012</v>
      </c>
      <c r="E26" t="str">
        <f t="shared" si="1"/>
        <v>Review</v>
      </c>
      <c r="F26" t="str">
        <f t="shared" si="2"/>
        <v>123456XXXXXX</v>
      </c>
      <c r="G26" t="str">
        <f>TRIM('dirty data'!D26)</f>
        <v>+977 97-6543210</v>
      </c>
      <c r="H26" t="str">
        <f t="shared" si="3"/>
        <v>976543210</v>
      </c>
      <c r="I26">
        <f t="shared" si="4"/>
        <v>9</v>
      </c>
      <c r="J26">
        <f t="shared" si="5"/>
        <v>976543210</v>
      </c>
      <c r="K26" t="str">
        <f t="shared" si="6"/>
        <v>review- Incomplete number</v>
      </c>
      <c r="L26" t="str">
        <f>TRIM('dirty data'!E26)</f>
        <v>govinda.bdr@outlook.com</v>
      </c>
      <c r="M26" t="str">
        <f>CLEAN(TRIM('dirty data'!F26))</f>
        <v>NABIL0007778</v>
      </c>
      <c r="N26" t="str">
        <f t="shared" si="7"/>
        <v>NABIL0007778</v>
      </c>
      <c r="O26" t="str">
        <f t="shared" si="8"/>
        <v>NABIL</v>
      </c>
      <c r="P26" t="str">
        <f t="shared" si="9"/>
        <v>07778</v>
      </c>
      <c r="Q26" t="str">
        <f>SUBSTITUTE('dirty data'!G26,"-","/")</f>
        <v>43135</v>
      </c>
      <c r="R26" s="1" t="str">
        <f t="shared" si="10"/>
        <v>04/02/2018</v>
      </c>
      <c r="T26" t="str">
        <f>TRIM(_xlfn.CONCAT('dirty data'!H26,'dirty data'!I26,'dirty data'!J26))</f>
        <v>45678.9</v>
      </c>
      <c r="U26" s="2">
        <f t="shared" si="11"/>
        <v>45678.9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AB0F-5238-4B3C-A488-AC90D87D8D40}">
  <sheetPr>
    <tabColor theme="3" tint="0.249977111117893"/>
  </sheetPr>
  <dimension ref="A1:N26"/>
  <sheetViews>
    <sheetView tabSelected="1" zoomScale="73" workbookViewId="0">
      <pane ySplit="1" topLeftCell="A2" activePane="bottomLeft" state="frozen"/>
      <selection activeCell="E1" sqref="E1"/>
      <selection pane="bottomLeft" activeCell="G21" sqref="G21"/>
    </sheetView>
  </sheetViews>
  <sheetFormatPr defaultRowHeight="14.4" x14ac:dyDescent="0.55000000000000004"/>
  <cols>
    <col min="1" max="1" width="13" customWidth="1"/>
    <col min="2" max="2" width="16.05078125" customWidth="1"/>
    <col min="3" max="3" width="20.26171875" customWidth="1"/>
    <col min="4" max="4" width="18" customWidth="1"/>
    <col min="5" max="5" width="16.15625" customWidth="1"/>
    <col min="6" max="6" width="19.5234375" customWidth="1"/>
    <col min="7" max="7" width="22.05078125" bestFit="1" customWidth="1"/>
    <col min="8" max="8" width="23.68359375" bestFit="1" customWidth="1"/>
    <col min="9" max="9" width="12.7890625" customWidth="1"/>
    <col min="10" max="10" width="15.3125" customWidth="1"/>
    <col min="11" max="11" width="17.83984375" customWidth="1"/>
    <col min="12" max="12" width="24.83984375" style="1" customWidth="1"/>
    <col min="13" max="13" width="14.89453125" style="2" customWidth="1"/>
  </cols>
  <sheetData>
    <row r="1" spans="1:14" x14ac:dyDescent="0.55000000000000004">
      <c r="A1" s="3" t="s">
        <v>33</v>
      </c>
      <c r="B1" s="3" t="s">
        <v>167</v>
      </c>
      <c r="C1" s="3" t="s">
        <v>270</v>
      </c>
      <c r="D1" s="3" t="s">
        <v>168</v>
      </c>
      <c r="E1" s="3" t="s">
        <v>169</v>
      </c>
      <c r="F1" s="3" t="s">
        <v>271</v>
      </c>
      <c r="G1" s="3" t="s">
        <v>272</v>
      </c>
      <c r="H1" s="3" t="s">
        <v>170</v>
      </c>
      <c r="I1" s="3" t="s">
        <v>273</v>
      </c>
      <c r="J1" s="3" t="s">
        <v>274</v>
      </c>
      <c r="K1" s="3" t="s">
        <v>275</v>
      </c>
      <c r="L1" s="4" t="s">
        <v>276</v>
      </c>
      <c r="M1" s="5" t="s">
        <v>163</v>
      </c>
    </row>
    <row r="2" spans="1:14" x14ac:dyDescent="0.55000000000000004">
      <c r="A2" t="s">
        <v>1</v>
      </c>
      <c r="B2" t="s">
        <v>171</v>
      </c>
      <c r="C2" t="s">
        <v>172</v>
      </c>
      <c r="D2" t="s">
        <v>173</v>
      </c>
      <c r="E2" t="s">
        <v>174</v>
      </c>
      <c r="F2">
        <v>9876543210</v>
      </c>
      <c r="G2" t="s">
        <v>176</v>
      </c>
      <c r="H2" t="s">
        <v>177</v>
      </c>
      <c r="I2" t="s">
        <v>178</v>
      </c>
      <c r="J2" t="s">
        <v>179</v>
      </c>
      <c r="K2" t="s">
        <v>180</v>
      </c>
      <c r="L2" s="1" t="s">
        <v>181</v>
      </c>
      <c r="M2" s="2">
        <v>123456.78</v>
      </c>
      <c r="N2" s="1"/>
    </row>
    <row r="3" spans="1:14" x14ac:dyDescent="0.55000000000000004">
      <c r="A3" t="s">
        <v>2</v>
      </c>
      <c r="B3" t="s">
        <v>182</v>
      </c>
      <c r="C3" t="s">
        <v>175</v>
      </c>
      <c r="D3" t="s">
        <v>173</v>
      </c>
      <c r="E3" t="s">
        <v>183</v>
      </c>
      <c r="F3">
        <v>987654321</v>
      </c>
      <c r="G3" t="s">
        <v>184</v>
      </c>
      <c r="H3" t="s">
        <v>43</v>
      </c>
      <c r="I3" t="s">
        <v>185</v>
      </c>
      <c r="J3" t="s">
        <v>179</v>
      </c>
      <c r="K3" t="s">
        <v>180</v>
      </c>
      <c r="L3" s="1" t="s">
        <v>186</v>
      </c>
      <c r="M3" s="2">
        <v>234567</v>
      </c>
    </row>
    <row r="4" spans="1:14" x14ac:dyDescent="0.55000000000000004">
      <c r="A4" t="s">
        <v>3</v>
      </c>
      <c r="B4" t="s">
        <v>187</v>
      </c>
      <c r="C4" t="s">
        <v>172</v>
      </c>
      <c r="D4" t="s">
        <v>173</v>
      </c>
      <c r="E4" t="s">
        <v>174</v>
      </c>
      <c r="F4">
        <v>9841234567</v>
      </c>
      <c r="G4" t="s">
        <v>176</v>
      </c>
      <c r="H4" t="s">
        <v>50</v>
      </c>
      <c r="I4" t="s">
        <v>51</v>
      </c>
      <c r="J4" t="s">
        <v>188</v>
      </c>
      <c r="K4" t="s">
        <v>189</v>
      </c>
      <c r="L4" s="1" t="s">
        <v>190</v>
      </c>
      <c r="M4" s="2">
        <v>45678.9</v>
      </c>
    </row>
    <row r="5" spans="1:14" x14ac:dyDescent="0.55000000000000004">
      <c r="A5" t="s">
        <v>4</v>
      </c>
      <c r="B5" t="s">
        <v>191</v>
      </c>
      <c r="C5" t="s">
        <v>175</v>
      </c>
      <c r="D5" t="s">
        <v>173</v>
      </c>
      <c r="E5" t="s">
        <v>183</v>
      </c>
      <c r="F5">
        <v>9801233590</v>
      </c>
      <c r="G5" t="s">
        <v>176</v>
      </c>
      <c r="H5" t="s">
        <v>192</v>
      </c>
      <c r="I5" t="s">
        <v>193</v>
      </c>
      <c r="J5" t="s">
        <v>179</v>
      </c>
      <c r="K5" t="s">
        <v>194</v>
      </c>
      <c r="L5" s="1" t="s">
        <v>195</v>
      </c>
      <c r="M5" s="2">
        <v>67890</v>
      </c>
    </row>
    <row r="6" spans="1:14" x14ac:dyDescent="0.55000000000000004">
      <c r="A6" t="s">
        <v>5</v>
      </c>
      <c r="B6" t="s">
        <v>196</v>
      </c>
      <c r="C6" t="s">
        <v>197</v>
      </c>
      <c r="D6" t="s">
        <v>198</v>
      </c>
      <c r="E6" t="s">
        <v>199</v>
      </c>
      <c r="F6">
        <v>986543210</v>
      </c>
      <c r="G6" t="s">
        <v>184</v>
      </c>
      <c r="H6" t="s">
        <v>59</v>
      </c>
      <c r="I6" t="s">
        <v>60</v>
      </c>
      <c r="J6" t="s">
        <v>200</v>
      </c>
      <c r="K6" t="s">
        <v>180</v>
      </c>
      <c r="L6" s="1" t="s">
        <v>201</v>
      </c>
      <c r="M6" s="2">
        <v>12345.67</v>
      </c>
    </row>
    <row r="7" spans="1:14" x14ac:dyDescent="0.55000000000000004">
      <c r="A7" t="s">
        <v>6</v>
      </c>
      <c r="B7" t="s">
        <v>202</v>
      </c>
      <c r="C7" t="s">
        <v>175</v>
      </c>
      <c r="D7" t="s">
        <v>173</v>
      </c>
      <c r="E7" t="s">
        <v>183</v>
      </c>
      <c r="F7">
        <v>9854321098</v>
      </c>
      <c r="G7" t="s">
        <v>176</v>
      </c>
      <c r="H7" t="s">
        <v>203</v>
      </c>
      <c r="I7" t="s">
        <v>66</v>
      </c>
      <c r="J7" t="s">
        <v>204</v>
      </c>
      <c r="K7" t="s">
        <v>205</v>
      </c>
      <c r="L7" s="1" t="s">
        <v>206</v>
      </c>
      <c r="M7" s="2">
        <v>98765</v>
      </c>
    </row>
    <row r="8" spans="1:14" x14ac:dyDescent="0.55000000000000004">
      <c r="A8" t="s">
        <v>7</v>
      </c>
      <c r="B8" t="s">
        <v>207</v>
      </c>
      <c r="C8" t="s">
        <v>172</v>
      </c>
      <c r="D8" t="s">
        <v>173</v>
      </c>
      <c r="E8" t="s">
        <v>174</v>
      </c>
      <c r="F8">
        <v>976543210</v>
      </c>
      <c r="G8" t="s">
        <v>184</v>
      </c>
      <c r="H8" t="s">
        <v>70</v>
      </c>
      <c r="I8" t="s">
        <v>208</v>
      </c>
      <c r="J8" t="s">
        <v>179</v>
      </c>
      <c r="K8" t="s">
        <v>189</v>
      </c>
      <c r="L8" s="1" t="s">
        <v>209</v>
      </c>
      <c r="M8" s="2">
        <v>123456</v>
      </c>
    </row>
    <row r="9" spans="1:14" x14ac:dyDescent="0.55000000000000004">
      <c r="A9" t="s">
        <v>8</v>
      </c>
      <c r="B9" t="s">
        <v>210</v>
      </c>
      <c r="C9" t="s">
        <v>175</v>
      </c>
      <c r="D9" t="s">
        <v>173</v>
      </c>
      <c r="E9" t="s">
        <v>183</v>
      </c>
      <c r="F9">
        <v>984123456</v>
      </c>
      <c r="G9" t="s">
        <v>184</v>
      </c>
      <c r="H9" t="s">
        <v>211</v>
      </c>
      <c r="I9" t="s">
        <v>77</v>
      </c>
      <c r="J9" t="s">
        <v>200</v>
      </c>
      <c r="K9" t="s">
        <v>194</v>
      </c>
      <c r="L9" s="1" t="s">
        <v>212</v>
      </c>
      <c r="M9" s="2">
        <v>567890</v>
      </c>
    </row>
    <row r="10" spans="1:14" x14ac:dyDescent="0.55000000000000004">
      <c r="A10" t="s">
        <v>9</v>
      </c>
      <c r="B10" t="s">
        <v>213</v>
      </c>
      <c r="C10" t="s">
        <v>214</v>
      </c>
      <c r="D10" t="s">
        <v>198</v>
      </c>
      <c r="E10" t="s">
        <v>215</v>
      </c>
      <c r="F10">
        <v>9807654321</v>
      </c>
      <c r="G10" t="s">
        <v>176</v>
      </c>
      <c r="H10" t="s">
        <v>82</v>
      </c>
      <c r="I10" t="s">
        <v>83</v>
      </c>
      <c r="J10" t="s">
        <v>188</v>
      </c>
      <c r="K10" t="s">
        <v>216</v>
      </c>
      <c r="L10" s="1" t="s">
        <v>217</v>
      </c>
      <c r="M10" s="2">
        <v>23456</v>
      </c>
    </row>
    <row r="11" spans="1:14" x14ac:dyDescent="0.55000000000000004">
      <c r="A11" t="s">
        <v>10</v>
      </c>
      <c r="B11" t="s">
        <v>218</v>
      </c>
      <c r="C11" t="s">
        <v>175</v>
      </c>
      <c r="D11" t="s">
        <v>173</v>
      </c>
      <c r="E11" t="s">
        <v>183</v>
      </c>
      <c r="F11">
        <v>9876543210</v>
      </c>
      <c r="G11" t="s">
        <v>176</v>
      </c>
      <c r="H11" t="s">
        <v>219</v>
      </c>
      <c r="I11" t="s">
        <v>220</v>
      </c>
      <c r="J11" t="s">
        <v>179</v>
      </c>
      <c r="K11" t="s">
        <v>221</v>
      </c>
      <c r="L11" s="1" t="s">
        <v>222</v>
      </c>
      <c r="M11" s="2">
        <v>78901.23</v>
      </c>
    </row>
    <row r="12" spans="1:14" x14ac:dyDescent="0.55000000000000004">
      <c r="A12" t="s">
        <v>11</v>
      </c>
      <c r="B12" t="s">
        <v>223</v>
      </c>
      <c r="C12" t="s">
        <v>172</v>
      </c>
      <c r="D12" t="s">
        <v>173</v>
      </c>
      <c r="E12" t="s">
        <v>174</v>
      </c>
      <c r="F12">
        <v>9865432109</v>
      </c>
      <c r="G12" t="s">
        <v>176</v>
      </c>
      <c r="H12" t="s">
        <v>94</v>
      </c>
      <c r="I12" t="s">
        <v>95</v>
      </c>
      <c r="J12" t="s">
        <v>200</v>
      </c>
      <c r="K12" t="s">
        <v>224</v>
      </c>
      <c r="L12" s="1" t="s">
        <v>225</v>
      </c>
      <c r="M12" s="2">
        <v>34567.89</v>
      </c>
    </row>
    <row r="13" spans="1:14" x14ac:dyDescent="0.55000000000000004">
      <c r="A13" t="s">
        <v>12</v>
      </c>
      <c r="B13" t="s">
        <v>226</v>
      </c>
      <c r="C13" t="s">
        <v>175</v>
      </c>
      <c r="D13" t="s">
        <v>173</v>
      </c>
      <c r="E13" t="s">
        <v>183</v>
      </c>
      <c r="F13">
        <v>976543210</v>
      </c>
      <c r="G13" t="s">
        <v>184</v>
      </c>
      <c r="H13" t="s">
        <v>227</v>
      </c>
      <c r="I13" t="s">
        <v>99</v>
      </c>
      <c r="J13" t="s">
        <v>204</v>
      </c>
      <c r="K13" t="s">
        <v>228</v>
      </c>
      <c r="L13" s="1" t="s">
        <v>229</v>
      </c>
      <c r="M13" s="2">
        <v>111222</v>
      </c>
    </row>
    <row r="14" spans="1:14" x14ac:dyDescent="0.55000000000000004">
      <c r="A14" t="s">
        <v>13</v>
      </c>
      <c r="B14" t="s">
        <v>230</v>
      </c>
      <c r="C14" t="s">
        <v>172</v>
      </c>
      <c r="D14" t="s">
        <v>173</v>
      </c>
      <c r="E14" t="s">
        <v>174</v>
      </c>
      <c r="F14">
        <v>9841234567</v>
      </c>
      <c r="G14" t="s">
        <v>176</v>
      </c>
      <c r="H14" t="s">
        <v>103</v>
      </c>
      <c r="I14" t="s">
        <v>231</v>
      </c>
      <c r="J14" t="s">
        <v>179</v>
      </c>
      <c r="K14" t="s">
        <v>232</v>
      </c>
      <c r="L14" s="1" t="s">
        <v>186</v>
      </c>
      <c r="M14" s="2">
        <v>56789</v>
      </c>
    </row>
    <row r="15" spans="1:14" x14ac:dyDescent="0.55000000000000004">
      <c r="A15" t="s">
        <v>14</v>
      </c>
      <c r="B15" t="s">
        <v>233</v>
      </c>
      <c r="C15" t="s">
        <v>175</v>
      </c>
      <c r="D15" t="s">
        <v>173</v>
      </c>
      <c r="E15" t="s">
        <v>183</v>
      </c>
      <c r="F15">
        <v>9876543210</v>
      </c>
      <c r="G15" t="s">
        <v>176</v>
      </c>
      <c r="H15" t="s">
        <v>234</v>
      </c>
      <c r="I15" t="s">
        <v>109</v>
      </c>
      <c r="J15" t="s">
        <v>200</v>
      </c>
      <c r="K15" t="s">
        <v>235</v>
      </c>
      <c r="L15" s="1" t="s">
        <v>190</v>
      </c>
      <c r="M15" s="2">
        <v>90123.45</v>
      </c>
    </row>
    <row r="16" spans="1:14" x14ac:dyDescent="0.55000000000000004">
      <c r="A16" t="s">
        <v>15</v>
      </c>
      <c r="B16" t="s">
        <v>236</v>
      </c>
      <c r="C16" t="s">
        <v>172</v>
      </c>
      <c r="D16" t="s">
        <v>173</v>
      </c>
      <c r="E16" t="s">
        <v>174</v>
      </c>
      <c r="F16">
        <v>986543210</v>
      </c>
      <c r="G16" t="s">
        <v>184</v>
      </c>
      <c r="H16" t="s">
        <v>113</v>
      </c>
      <c r="I16" t="s">
        <v>114</v>
      </c>
      <c r="J16" t="s">
        <v>188</v>
      </c>
      <c r="K16" t="s">
        <v>237</v>
      </c>
      <c r="L16" s="1" t="s">
        <v>195</v>
      </c>
      <c r="M16" s="2">
        <v>12345</v>
      </c>
    </row>
    <row r="17" spans="1:13" x14ac:dyDescent="0.55000000000000004">
      <c r="A17" t="s">
        <v>16</v>
      </c>
      <c r="B17" t="s">
        <v>238</v>
      </c>
      <c r="C17" t="s">
        <v>175</v>
      </c>
      <c r="D17" t="s">
        <v>173</v>
      </c>
      <c r="E17" t="s">
        <v>183</v>
      </c>
      <c r="F17">
        <v>9854321098</v>
      </c>
      <c r="G17" t="s">
        <v>176</v>
      </c>
      <c r="H17" t="s">
        <v>239</v>
      </c>
      <c r="I17" t="s">
        <v>240</v>
      </c>
      <c r="J17" t="s">
        <v>179</v>
      </c>
      <c r="K17" t="s">
        <v>241</v>
      </c>
      <c r="L17" s="1" t="s">
        <v>242</v>
      </c>
      <c r="M17" s="2">
        <v>67890.12</v>
      </c>
    </row>
    <row r="18" spans="1:13" x14ac:dyDescent="0.55000000000000004">
      <c r="A18" t="s">
        <v>17</v>
      </c>
      <c r="B18" t="s">
        <v>243</v>
      </c>
      <c r="C18" t="s">
        <v>197</v>
      </c>
      <c r="D18" t="s">
        <v>198</v>
      </c>
      <c r="E18" t="s">
        <v>199</v>
      </c>
      <c r="F18">
        <v>976543210</v>
      </c>
      <c r="G18" t="s">
        <v>184</v>
      </c>
      <c r="H18" t="s">
        <v>122</v>
      </c>
      <c r="I18" t="s">
        <v>123</v>
      </c>
      <c r="J18" t="s">
        <v>200</v>
      </c>
      <c r="K18" t="s">
        <v>244</v>
      </c>
      <c r="L18" s="1" t="s">
        <v>245</v>
      </c>
      <c r="M18" s="2">
        <v>45678.9</v>
      </c>
    </row>
    <row r="19" spans="1:13" x14ac:dyDescent="0.55000000000000004">
      <c r="A19" t="s">
        <v>18</v>
      </c>
      <c r="B19" t="s">
        <v>246</v>
      </c>
      <c r="C19" t="s">
        <v>175</v>
      </c>
      <c r="D19" t="s">
        <v>173</v>
      </c>
      <c r="E19" t="s">
        <v>183</v>
      </c>
      <c r="F19">
        <v>9876543210</v>
      </c>
      <c r="G19" t="s">
        <v>176</v>
      </c>
      <c r="H19" t="s">
        <v>127</v>
      </c>
      <c r="I19" t="s">
        <v>128</v>
      </c>
      <c r="J19" t="s">
        <v>204</v>
      </c>
      <c r="K19" t="s">
        <v>247</v>
      </c>
      <c r="L19" s="1" t="s">
        <v>209</v>
      </c>
      <c r="M19" s="2">
        <v>23456.78</v>
      </c>
    </row>
    <row r="20" spans="1:13" x14ac:dyDescent="0.55000000000000004">
      <c r="A20" t="s">
        <v>19</v>
      </c>
      <c r="B20" t="s">
        <v>248</v>
      </c>
      <c r="C20" t="s">
        <v>172</v>
      </c>
      <c r="D20" t="s">
        <v>173</v>
      </c>
      <c r="E20" t="s">
        <v>174</v>
      </c>
      <c r="F20">
        <v>984123456</v>
      </c>
      <c r="G20" t="s">
        <v>184</v>
      </c>
      <c r="H20" t="s">
        <v>249</v>
      </c>
      <c r="I20" t="s">
        <v>250</v>
      </c>
      <c r="J20" t="s">
        <v>179</v>
      </c>
      <c r="K20" t="s">
        <v>251</v>
      </c>
      <c r="L20" s="1" t="s">
        <v>212</v>
      </c>
      <c r="M20" s="2">
        <v>78901</v>
      </c>
    </row>
    <row r="21" spans="1:13" x14ac:dyDescent="0.55000000000000004">
      <c r="A21" t="s">
        <v>20</v>
      </c>
      <c r="B21" t="s">
        <v>252</v>
      </c>
      <c r="C21" t="s">
        <v>175</v>
      </c>
      <c r="D21" t="s">
        <v>173</v>
      </c>
      <c r="E21" t="s">
        <v>183</v>
      </c>
      <c r="F21">
        <v>9865432109</v>
      </c>
      <c r="G21" t="s">
        <v>184</v>
      </c>
      <c r="H21" t="s">
        <v>134</v>
      </c>
      <c r="I21" t="s">
        <v>135</v>
      </c>
      <c r="J21" t="s">
        <v>200</v>
      </c>
      <c r="K21" t="s">
        <v>253</v>
      </c>
      <c r="L21" s="1" t="s">
        <v>254</v>
      </c>
      <c r="M21" s="2">
        <v>123456</v>
      </c>
    </row>
    <row r="22" spans="1:13" x14ac:dyDescent="0.55000000000000004">
      <c r="A22" t="s">
        <v>21</v>
      </c>
      <c r="B22" t="s">
        <v>255</v>
      </c>
      <c r="C22" t="s">
        <v>172</v>
      </c>
      <c r="D22" t="s">
        <v>173</v>
      </c>
      <c r="E22" t="s">
        <v>174</v>
      </c>
      <c r="F22">
        <v>976543210</v>
      </c>
      <c r="G22" t="s">
        <v>184</v>
      </c>
      <c r="H22" t="s">
        <v>256</v>
      </c>
      <c r="I22" t="s">
        <v>139</v>
      </c>
      <c r="J22" t="s">
        <v>188</v>
      </c>
      <c r="K22" t="s">
        <v>257</v>
      </c>
      <c r="L22" s="1" t="s">
        <v>222</v>
      </c>
      <c r="M22" s="2">
        <v>56789</v>
      </c>
    </row>
    <row r="23" spans="1:13" x14ac:dyDescent="0.55000000000000004">
      <c r="A23" t="s">
        <v>22</v>
      </c>
      <c r="B23" t="s">
        <v>258</v>
      </c>
      <c r="C23" t="s">
        <v>175</v>
      </c>
      <c r="D23" t="s">
        <v>173</v>
      </c>
      <c r="E23" t="s">
        <v>183</v>
      </c>
      <c r="F23">
        <v>9807654321</v>
      </c>
      <c r="G23" t="s">
        <v>176</v>
      </c>
      <c r="H23" t="s">
        <v>142</v>
      </c>
      <c r="I23" t="s">
        <v>259</v>
      </c>
      <c r="J23" t="s">
        <v>179</v>
      </c>
      <c r="K23" t="s">
        <v>260</v>
      </c>
      <c r="L23" s="1" t="s">
        <v>225</v>
      </c>
      <c r="M23" s="2">
        <v>90123</v>
      </c>
    </row>
    <row r="24" spans="1:13" x14ac:dyDescent="0.55000000000000004">
      <c r="A24" t="s">
        <v>23</v>
      </c>
      <c r="B24" t="s">
        <v>261</v>
      </c>
      <c r="C24" t="s">
        <v>172</v>
      </c>
      <c r="D24" t="s">
        <v>173</v>
      </c>
      <c r="E24" t="s">
        <v>174</v>
      </c>
      <c r="F24">
        <v>9876543210</v>
      </c>
      <c r="G24" t="s">
        <v>176</v>
      </c>
      <c r="H24" t="s">
        <v>145</v>
      </c>
      <c r="I24" t="s">
        <v>146</v>
      </c>
      <c r="J24" t="s">
        <v>200</v>
      </c>
      <c r="K24" t="s">
        <v>262</v>
      </c>
      <c r="L24" s="1" t="s">
        <v>229</v>
      </c>
      <c r="M24" s="2">
        <v>12345.67</v>
      </c>
    </row>
    <row r="25" spans="1:13" x14ac:dyDescent="0.55000000000000004">
      <c r="A25" t="s">
        <v>24</v>
      </c>
      <c r="B25" t="s">
        <v>263</v>
      </c>
      <c r="C25" t="s">
        <v>175</v>
      </c>
      <c r="D25" t="s">
        <v>173</v>
      </c>
      <c r="E25" t="s">
        <v>183</v>
      </c>
      <c r="F25">
        <v>986543210</v>
      </c>
      <c r="G25" t="s">
        <v>184</v>
      </c>
      <c r="H25" t="s">
        <v>264</v>
      </c>
      <c r="I25" t="s">
        <v>149</v>
      </c>
      <c r="J25" t="s">
        <v>204</v>
      </c>
      <c r="K25" t="s">
        <v>265</v>
      </c>
      <c r="L25" s="1" t="s">
        <v>186</v>
      </c>
      <c r="M25" s="2">
        <v>67890</v>
      </c>
    </row>
    <row r="26" spans="1:13" x14ac:dyDescent="0.55000000000000004">
      <c r="A26" t="s">
        <v>25</v>
      </c>
      <c r="B26" t="s">
        <v>266</v>
      </c>
      <c r="C26" t="s">
        <v>214</v>
      </c>
      <c r="D26" t="s">
        <v>198</v>
      </c>
      <c r="E26" t="s">
        <v>215</v>
      </c>
      <c r="F26">
        <v>976543210</v>
      </c>
      <c r="G26" t="s">
        <v>184</v>
      </c>
      <c r="H26" t="s">
        <v>267</v>
      </c>
      <c r="I26" t="s">
        <v>268</v>
      </c>
      <c r="J26" t="s">
        <v>179</v>
      </c>
      <c r="K26" t="s">
        <v>269</v>
      </c>
      <c r="L26" s="1" t="s">
        <v>190</v>
      </c>
      <c r="M26" s="2">
        <v>45678.9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 data</vt:lpstr>
      <vt:lpstr>cleaning process</vt:lpstr>
      <vt:lpstr>final 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sarbesh acharya</dc:creator>
  <cp:lastModifiedBy>sarbesh acharya</cp:lastModifiedBy>
  <dcterms:created xsi:type="dcterms:W3CDTF">2026-03-22T18:18:32Z</dcterms:created>
  <dcterms:modified xsi:type="dcterms:W3CDTF">2026-03-24T17:46:15Z</dcterms:modified>
</cp:coreProperties>
</file>